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ww FO Content Raw" sheetId="1" r:id="rId4"/>
    <sheet state="visible" name="Weekly KPIs" sheetId="2" r:id="rId5"/>
    <sheet state="visible" name="Content Performance" sheetId="3" r:id="rId6"/>
    <sheet state="visible" name="Executive Insights" sheetId="4" r:id="rId7"/>
  </sheets>
  <definedNames/>
  <calcPr/>
  <pivotCaches>
    <pivotCache cacheId="0" r:id="rId8"/>
  </pivotCaches>
</workbook>
</file>

<file path=xl/sharedStrings.xml><?xml version="1.0" encoding="utf-8"?>
<sst xmlns="http://schemas.openxmlformats.org/spreadsheetml/2006/main" count="2988" uniqueCount="2984">
  <si>
    <t>Title</t>
  </si>
  <si>
    <t>URL</t>
  </si>
  <si>
    <t>ID</t>
  </si>
  <si>
    <t>Description</t>
  </si>
  <si>
    <t>Published Date</t>
  </si>
  <si>
    <t>Duration</t>
  </si>
  <si>
    <t>Views</t>
  </si>
  <si>
    <t>Likes</t>
  </si>
  <si>
    <t>Comments</t>
  </si>
  <si>
    <t>Thumbnail URL</t>
  </si>
  <si>
    <t>Engagement Rate %</t>
  </si>
  <si>
    <t>Duration Minutes</t>
  </si>
  <si>
    <t>Week Start Date</t>
  </si>
  <si>
    <t>Content Type</t>
  </si>
  <si>
    <t>How to Start Trading in 2026: Setup, Risk &amp; Common Mistakes</t>
  </si>
  <si>
    <t>https://www.youtube.com/watch?v=fs3ymeu4S4o</t>
  </si>
  <si>
    <t>fs3ymeu4S4o</t>
  </si>
  <si>
    <t>In 2026, the right way to start trading isn’t chasing tips—it’s understanding your edge and building strong risk management.
In this video, we break down what an edge actually means and how to measure it using expectancy (win rate, average win, and average loss).
You’ll learn how to audit your last 3 months of trades to see whether your approach is profitable—or just gambling.
We also explain the two real ways traders make money: capturing market inefficiencies or getting paid for taking risk (intraday vs overnight concept).
Finally, we share a simple 15% drawdown framework to size positions and survive normal losing streaks without blowing up your account.
If you want a clear beginner roadmap for trading in 2026, this video is your step-by-step starting point.
0:00 - Introduction
0:40 - What is Edge &amp; How to Calculate It
3:40 - Two Ways to Build an Edge
7:14 - Why Most Traders Fail (Risk Management)
8:38 - Position Sizing: The 15% Rule
10:16 - Final Takeaway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Zainab Zaidi
Date: 21/12/2025
If you have any concerns with respect to Groww, please feel free to write to us at support@groww.in or you can call us at +91 9108800000.
#TradingEdge #RiskManagement #TradingStrategy #StockMarket #Expectancy #PositionSizing #TradingPsychology #IndianStockMarket #TradingEducation #WinRate #RiskReward #TradingMindset #DrawdownManagement #ProfitableTrading #TradingRules #MarketRisk #TradingDiscipline #StockTrading #IntradayTrading #SwingTrading #OptionsTrading #TradingTips #ShareMarket #NSE #BSE #TradingIndia</t>
  </si>
  <si>
    <t>https://i.ytimg.com/vi/fs3ymeu4S4o/hqdefault.jpg</t>
  </si>
  <si>
    <t>How to use Scalper mode on Groww?</t>
  </si>
  <si>
    <t>https://www.youtube.com/watch?v=g0cpD5zRIv0</t>
  </si>
  <si>
    <t>g0cpD5zRIv0</t>
  </si>
  <si>
    <t>In this video, we show you how to use Scalper Mode on Groww and walk you through all its key features. Learn how to trade directly from charts, and place stop-loss and target orders right on the chart for a smoother, faster, and more seamless trading experience.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Zainab Zaidi
Date: 18/12/2025
If you have any concerns with respect to Groww, please feel free to write to us at support@groww.in or you can call us at +91 9108800000.</t>
  </si>
  <si>
    <t>https://i.ytimg.com/vi/g0cpD5zRIv0/hqdefault.jpg</t>
  </si>
  <si>
    <t>Pairs Trading Strategy for Beginners</t>
  </si>
  <si>
    <t>https://www.youtube.com/watch?v=w88cFKw4ZRg</t>
  </si>
  <si>
    <t>w88cFKw4ZRg</t>
  </si>
  <si>
    <t>Souvik Das walks us through pairs trading, a classic market-neutral strategy that still holds strong in today’s markets.
In this video, we cover:
The core logic and intuition behind pairs trading
The key risks you need to be aware of
How to build and fully automate a pairs trading system on Groww Cloud
Souvik not only explains the concept but also connects it to practical execution—showing you how to turn theory into a live, rules-based trading workflow. 
Access Groww APIs here: https://groww.in/trade-api
Find the code for the pairs trading strategy here:  https://gist.github.com/souvik131/97ffeda2b284a4fd6d82917f3a031ebd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Souvik Das
Date: 17/12/2025
If you have any concerns with respect to Groww, please feel free to write to us at support@groww.in or you can call us at +91 9108800000.</t>
  </si>
  <si>
    <t>https://i.ytimg.com/vi/w88cFKw4ZRg/hqdefault.jpg</t>
  </si>
  <si>
    <t>20 years of option trading wisdom  in 50 minutes | ft Raghav malik and Praful Kulkarni</t>
  </si>
  <si>
    <t>https://www.youtube.com/watch?v=aEFQJPAOEsY</t>
  </si>
  <si>
    <t>aEFQJPAOEsY</t>
  </si>
  <si>
    <t>In this episode of Breakfast with Traders, Praful Kulkarni interviews Raghav Malik, founder of AlgoTest, about systematic options trading.
Raghav shares lessons from trading volatility during the 2008 financial crisis, explains the concept of volatility risk premium, and breaks down why backtesting can fail during regime shifts. 
He debunks the myth of "risk-free" options selling, explains implied vs realized volatility, and emphasizes the importance of understanding the "language of options" before trading.
Timestamps:
0:00 - Highlights and Introduction
3:42 - Trading During 2008 Financial Crisis &amp; Lessons Learned
9:18 - Two Ways to Make Money: Inefficiency vs Risk Premium
13:52 - Why Backtesting Failed in 2008 &amp; Regime Shifts
22:08 - Risk Management for Retail Options Traders
25:13 - Common Misconception: Theta Decay vs Volatility Crush
29:33 - Implied Volatility vs Realized Volatility Explained
31:57 - The "Risk-Free" Options Selling Myth
34:15 - Negative Skew Strategies &amp; Tail Risk
40:02 - 9:20 Strategy Breakdown
42:06 - Building Strategies: From Market Observation to Backtesting
46:43 - Avoiding Curve Fitting: Idea-First Approach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12/12/2025
If you have any concerns with respect to Groww, please feel free to write to us at support@groww.in or you can call us at +91 9108800000.
#breakfastwithtraders 
#tradingstrategies #stockmarketinvesting #optiontrading #wallstreettradingsecrets #howtobuildatradingstrategy #tradingforbeginnersfullcourse #optionsforbeginners #tradingmindset #swingtrading #priceaction #smartmoney #institutionaltrading #tradingsetup</t>
  </si>
  <si>
    <t>https://i.ytimg.com/vi/aEFQJPAOEsY/hqdefault.jpg</t>
  </si>
  <si>
    <t>Women in Trading: Algo vs Discretionary</t>
  </si>
  <si>
    <t>https://www.youtube.com/watch?v=NykmV3um238</t>
  </si>
  <si>
    <t>NykmV3um238</t>
  </si>
  <si>
    <t>In this exclusive Stock Market India podcast, we dive deep into the ultimate trading debate: Algo Trading vs. Manual Trading. Join us as we uncover which trading strategy is best suited for conquering the Nifty 50 and managing volatility in the Indian market.
Host Vishal sits down with two expert traders, Shikha and Prachi, to compare their distinct approaches to the Share Market. Shikha reveals how automation helps her manage emotions and scale capital efficiently, while Prachi explains the power of discretionary trading using Price Action and Option Chain analysis.
What you will learn in this episode:
Intraday Trading secrets: Time-based strategies (like the 9:20 Straddle) vs. reading data.
How to manage risk with the "1% Rule" and handle market drawdowns.
The psychology behind scaling your capital from 1 Cr to 100 Cr.
The reality of being a woman in the male-dominated trading industry.
Whether you are a beginner or an experienced trader, the insights on Option Decay and Trading Psychology discussed here are worth researching to refine your own setup.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09/12/2025
If you have any concerns with respect to Groww, please feel free to write to us at support@groww.in or you can call us at +91 9108800000.</t>
  </si>
  <si>
    <t>https://i.ytimg.com/vi/NykmV3um238/hqdefault.jpg</t>
  </si>
  <si>
    <t>How to trade reversal patterns?</t>
  </si>
  <si>
    <t>https://www.youtube.com/watch?v=ibols1RooE0</t>
  </si>
  <si>
    <t>ibols1RooE0</t>
  </si>
  <si>
    <t>In this part of our Price Action series, we dive deep into Reversal Patterns and Bilateral Patterns used by successful traders in the stock market.
In this comprehensive tutorial, we cover:
✅ Head &amp; Shoulders Pattern 
✅ Inverse Head &amp; Shoulders
✅ Double Top - M Formation 
✅ Double Bottom - W Formation 
✅ Rounding Bottom Pattern
✅ Cup &amp; Handle Pattern 
✅ Symmetrical Triangle
✅ Rectangular Pattern 
Learn the psychology behind each pattern, entry/exit strategies, stop-loss placement, and risk-reward ratio calculations with real-life trading examples from Indian markets.
Timestamps:
0:00 - Introduction
1:12 - Head &amp; Shoulders Pattern
3:42 - Inverse Head &amp; Shoulders
6:12 - Double Top (M Formation)
10:49 - Double Bottom (W Formation)
13:16 - Rounding Bottom Pattern
15:24 - Cup &amp; Handle Pattern
18:06 - Symmetrical Triangle (Bilateral Pattern)
22:02 - Rectangular Pattern
25:41 - Conclusion &amp; Key Takeaways
#TechnicalAnalysis #PriceAction #StockMarket #TradingPatterns #indianstockmarket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Chetan Panchamiya
Date:3/12/2025
If you have any concerns with respect to Groww, please feel free to write to us at support@groww.in or you can call us at +91 9108800000.</t>
  </si>
  <si>
    <t>https://i.ytimg.com/vi/ibols1RooE0/hqdefault.jpg</t>
  </si>
  <si>
    <t>The only trend following strategy you need</t>
  </si>
  <si>
    <t>https://www.youtube.com/watch?v=aiQvqjCcrxA</t>
  </si>
  <si>
    <t>aiQvqjCcrxA</t>
  </si>
  <si>
    <t>Souvik Das walks us through Trend Following, an age-old and time-tested trading system, explaining why it remains relevant today. This video thoroughly highlights the key benefits that attract traders and the essential drawbacks that must be managed for success. Most importantly, Souvik shows viewers how to fully automate this strategy using the power of Groww Cloud, complete with a transparent review of the backtesting results. This is your guide to building a robust, hands-free trading approach.
Access Groww API's here:  https://groww.in/trade-api 
Find the code used here: https://gist.github.com/souvik131/b2f48d6f15ed94bebdf65eba89de430f 
Backtesting in Tradingview: https://www.tradingview.com/script/tPtkPlZP-Pure-Trend-Following-Close-Based-ATR-Stop/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Souvik Das
Date: 01/12/2025
If you have any concerns with respect to Groww, please feel free to write to us at support@groww.in or you can call us at +91 9108800000.</t>
  </si>
  <si>
    <t>https://i.ytimg.com/vi/aiQvqjCcrxA/hqdefault.jpg</t>
  </si>
  <si>
    <t>Ex market maker breaks myths about market manipulation ?</t>
  </si>
  <si>
    <t>https://www.youtube.com/watch?v=ybRdZNf7zHE</t>
  </si>
  <si>
    <t>ybRdZNf7zHE</t>
  </si>
  <si>
    <t>Ever wondered who's on the other side of your trades? This Off the Charts episode takes you inside the world of market makers and HFT firms. Shreyans Jain, who spent 8 years at one of India's top prop trading firms, reveals how market makers keep spreads tight, manage massive positions, and profit in microseconds. From delta-neutral strategies to the Jane Street scandal, we decode the engine room of Indian markets.
Timestamps:
00:00 Highlights
03:43 What is Market Making &amp; Its Role
07:09 A Day in the Life of an HFT Trader
10:08 Trading Nikkei 225, Commodities &amp; Indian Markets
13:04 HFT vs MFT vs LFT Explained
14:14 Options Arbitrage &amp; Delta Neutral Strategies
18:19 Understanding Vega Positions &amp; Cross-Hedging
24:37 Theta Decay &amp; Weekend Risk
31:04 Impact of Surprise Holidays on Market Makers
36:29 Weekly Options &amp; Exchange Infrastructure
39:45 The Speed Advantage
44:02 Risk Management in Market Making
47:48 The Jane Street Bank Nifty Scandal Explained
52:35 How to Build a Career in HFT Trading
Twitter handles: 
https://docs.google.com/document/d/1-Es3uXg8WdB4g4M914ux0yC2rUCFf7wXhoX5gy1hE9U/edit?usp=drivesdk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29/11/2025
If you have any concerns with respect to Groww, please feel free to write to us at support@groww.in or you can call us at +91 9108800000.
#MarketMaking #HFT #HighFrequencyTrading #OptionsTrading #TradingStrategies #DeltaNeutral #VegaTrading #ThetaDecay #BankNifty #JaneStreet #PropTrading #AlgoTrading #FinancialMarkets #TradingCareer #NSE #IndianStockMarket #OffTheCharts</t>
  </si>
  <si>
    <t>https://i.ytimg.com/vi/ybRdZNf7zHE/hqdefault.jpg</t>
  </si>
  <si>
    <t>When should you buy options?</t>
  </si>
  <si>
    <t>https://www.youtube.com/watch?v=fcOl7-Py1xI</t>
  </si>
  <si>
    <t>fcOl7-Py1xI</t>
  </si>
  <si>
    <t>Are you confused about when to buy options vs. sell options? In this video, we dive into the world of volatility trading using the powerful concepts of India VIX, Implied Volatility (IV), and Historical Volatility (HV).
Most traders get the correlation wrong! We clarify the myth: Does a high VIX mean the market will fall? (Spoiler: Not always!)
What you will learn in this video:
India VIX Explained: Definition, calculation, and what a VIX value of 12 means for the Nifty's expected 30-day movement.
IV vs. HV (Implied Volatility vs. Historical Volatility): Learn the key difference and how to use the relationship between them to determine if premiums are high or low.
Volatility Mean Reversion Strategy: Why volatility always tends to return to its average, and how you can profit from this phenomenon.
The Strategy (IV is High): When should you use Option Selling (Short Straddle or Short Strangle)? 
Risk Management: Essential tips for using Stop Losses and hedging strategies like the Iron Condor.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27/11/2025
If you have any concerns with respect to Groww, please feel free to write to us at support@groww.in or you can call us at +91 9108800000.
#tradingwithgroww #VIX #ImpliedVolatility #IV #VolatilityTrading #IndiaVIX #OptionsTrading</t>
  </si>
  <si>
    <t>https://i.ytimg.com/vi/fcOl7-Py1xI/hqdefault.jpg</t>
  </si>
  <si>
    <t>How to Start Trading Gold in India?</t>
  </si>
  <si>
    <t>https://www.youtube.com/watch?v=gJKLJUTdolU</t>
  </si>
  <si>
    <t>gJKLJUTdolU</t>
  </si>
  <si>
    <t>Learn how to trade precious metals in the Indian commodity market! This video covers Gold and Silver futures and options contracts - from standard to mini variants.
Understand lot sizes, margin requirements, liquidity analysis, and expiry cycles. Perfect for beginners looking to enter precious metals trading.
Timestamps:
1:25 - Gold Contract Types &amp; Lot Sizes 
2:52 - Silver Contract Breakdown
4:51 - Critical Options Expiry Rules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Zainab Zaidi
Date: 25/11/2025
If you have any concerns with respect to Groww, please feel free to write to us at support@groww.in or you can call us at +91 9108800000.
#GoldTrading #SilverTrading #CommodityTrading #FuturesAndOptions #PreciousMetals #MCXTrading #Groww #TradingTutorial #InvestmentGuide #IndianStockMarket #TradingForBeginners</t>
  </si>
  <si>
    <t>https://i.ytimg.com/vi/gJKLJUTdolU/hqdefault.jpg</t>
  </si>
  <si>
    <t>How to use Groww Cloud? | Algo trading for beginners</t>
  </si>
  <si>
    <t>https://www.youtube.com/watch?v=IqvK_labGWQ</t>
  </si>
  <si>
    <t>IqvK_labGWQ</t>
  </si>
  <si>
    <t>Are you tired of missing trades due to office meetings and FOMO? This video is for every busy trader! Algo trading is the future, offering systematic, fast, and emotion-free execution. We explain the challenges retail traders face with APIs and infrastructure 
The solution? Groww Cloud! It's a powerful, all-in-one platform that lets you deploy your trading strategy directly to a reliable, always-on server. Learn how to set up your API keys and deploy your first algo strategy on Groww Cloud. Stop trading your panic, start trading your plan!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Souvik Das
Date: 23/11/2025
If you have any concerns with respect to Groww, please feel free to write to us at support@groww.in or you can call us at +91 9108800000.</t>
  </si>
  <si>
    <t>https://i.ytimg.com/vi/IqvK_labGWQ/hqdefault.jpg</t>
  </si>
  <si>
    <t>How to trade the most powerful chart patterns?</t>
  </si>
  <si>
    <t>https://www.youtube.com/watch?v=mDc-yBAgaEw</t>
  </si>
  <si>
    <t>mDc-yBAgaEw</t>
  </si>
  <si>
    <t>In this episode of Groww ki Pathshala, Chetan Panchamia breaks down the core of price action. This guide breaks down the essential continuation and consolidation chart patterns every trader needs to know.
We cover:
Chart Patterns 101: What they are and why they matter for timing trades.
Continuation Power: Identifying Flags and Pennants to catch the next move in a trend.
High-Probability Setups: Spotting Ascending (bullish) and Descending (bearish) Triangles with real examples.
Stop guessing and start trading with an edge. Hit like and subscribe for more trading strategies!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Chetan Panchamia
Date: 21/11/2025
If you have any concerns with respect to Groww, please feel free to write to us at support@groww.in or you can call us at +91 9108800000.</t>
  </si>
  <si>
    <t>https://i.ytimg.com/vi/mDc-yBAgaEw/hqdefault.jpg</t>
  </si>
  <si>
    <t>Complete Guide to Ratio Spreads in Options Trading | What 15 Years in the Markets Taught This Trader</t>
  </si>
  <si>
    <t>https://www.youtube.com/watch?v=c0YDkmdzPc4</t>
  </si>
  <si>
    <t>c0YDkmdzPc4</t>
  </si>
  <si>
    <t>In this comprehensive episode of "Trading Ki Baat," host Arjun Tandon sits down with Sumit, a full-time trader with 15 years of experience, to decode the art of Ratio Trading in Options.
Sumit shares a complete guide to ratio trading, covering how to build 1:2 and 1:3 positions using Delta Neutral and Premium Neutral methods. Discover a backtested strategy with 97% win rate—along with its hidden risks and real drawdowns. Learn from actual trading examples, including a ₹30 lakh loss story, and master critical skills like risk management, stop loss placement, profit booking using payoff charts, and weekly expiry strategies for consistent returns.
Timestamps:
0:00 - Highlights
1:26 - Introduction
4:06 - What is Ratio Trading? Basic Strategy Explained
8:01 - Delta Neutral Strategy Explained
12:11 - Backtested Strategy: 30% Returns, 97% Win Rate
14:00 - The Hidden Risk in Profitable Strategies
21:30 - Real Trade Gone Wrong: Bank Nifty Example
24:26 - ₹30 Lakh Loss Story &amp; Lessons Learned
26:55 - How to Set Stop Losses in Ratio Trades
30:09 - Understanding Payoff Charts (Must Watch!)
33:42 - Weekly Expiry Ratio Strategies
38:22 - Beginner's Guide to Starting with Ratios
41:10 - Risk vs Reward: The Critical Balance
#RatioTrading #OptionsTrading #TradingStrategies #DeltaNeutral #OptionsEducation #NiftyTrading #BankNifty #TradingKiBaat #StockMarketIndia #DerivativesTrading #RiskManagement #IntradayTrading #PositionalTrading #OptionsWriting #TradingJourney #IndianStockMarket #NSE #OptionsGreeks #PayoffChart #TradingPsychology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15/11/2025
If you have any concerns with respect to Groww, please feel free to write to us at support@groww.in or you can call us at +91 9108800000.</t>
  </si>
  <si>
    <t>https://i.ytimg.com/vi/c0YDkmdzPc4/hqdefault.jpg</t>
  </si>
  <si>
    <t>What Is the Commodities Market? Everything Beginners Need to Know</t>
  </si>
  <si>
    <t>https://www.youtube.com/watch?v=k7BMZUDotVQ</t>
  </si>
  <si>
    <t>k7BMZUDotVQ</t>
  </si>
  <si>
    <t>Ever wondered how oil, gold, or copper prices impact the stock market? 💡
In this video, we simplify the commodities market. What it is, why it matters, and how it can give traders and investors an edge.
Learn how global prices signal trends across industries — from energy to metals to agriculture.
Whether you’re a beginner in trading or just want to understand how the global economy moves, this is your one-stop guide to the Commodities Market.
In the next episode, we’ll cover how to actually trade commodity futures and options — including lot sizes, expiry, margins, and trading setups.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Zainab Zaidi
Date: 9/11/2025
If you have any concerns with respect to Groww, please feel free to write to us at support@groww.in or you can call us at +91 9108800000.
#CommoditiesMarket #Groww #TradingForBeginners #InvestingBasics #CommodityTrading #StockMarketIndia</t>
  </si>
  <si>
    <t>https://i.ytimg.com/vi/k7BMZUDotVQ/hqdefault.jpg</t>
  </si>
  <si>
    <t>The Indicator most Traders Overlook | Groww ki Pathshala</t>
  </si>
  <si>
    <t>https://www.youtube.com/watch?v=khIPES9yoTw</t>
  </si>
  <si>
    <t>khIPES9yoTw</t>
  </si>
  <si>
    <t>In this episode of Groww Ki Pathshala, Chetan Panchamia breaks down everything you need to know about Moving Averages and how to use them to take trades.
He shares practical entry and exit points, stop-loss strategies, and shows you how to combine Moving Averages with price action for maximum profitability.
Timestamps:
0:00 - Highlights
1:25 - What Are Indicators and Moving Averages?
2:04 - How Moving Average is Calculated
4:58 - Exponential Moving Average (EMA) Explained
5:35 - Popular Moving Averages: 200, 100, 50, 20 Days
8:32 - Three Popular Moving Average Strategies
9:25 - 20 and 50 EMA Pullback Strategy
13:13 - When Moving Average Patterns Fail
17:34 - Sangam Moving Average Strategy (50, 100, 200)
23:05 - Golden Cross Explained
24:42 - Death Cross Explained
27:37 - Power of Trend Riding with Moving Averages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Chetan Panchamia
Date:8/11/2025
If you have any concerns with respect to Groww, please feel free to write to us at support@groww.in or you can call us at +91 9108800000.</t>
  </si>
  <si>
    <t>https://i.ytimg.com/vi/khIPES9yoTw/hqdefault.jpg</t>
  </si>
  <si>
    <t>Can AI make you a better trader?</t>
  </si>
  <si>
    <t>https://www.youtube.com/watch?v=k8BD2xBEvz4</t>
  </si>
  <si>
    <t>k8BD2xBEvz4</t>
  </si>
  <si>
    <t>How is AI really being used in financial markets? We asked a pro to show us.
Welcome to Episode 2 of Off the Charts! In this episode, Vaibhav Jain sits down with Souvik Das, a former banker turned full-time systematic trader, for a masterclass on automated trading. Souvik doesn't just talk about AI—he shares his screen and shows you exactly how he uses it in live market hours.
In this episode, you will see:
AI's Real-World Impact: How AI is fundamentally changing trading and the financial markets.
LIVE TRADING DEMO: Watch Souvik use AI to seamlessly implement a complex options strategy (a calendar spread) live.
AI Portfolio Optimizer: A walkthrough of a custom tool Souvik built to find the optimal asset allocation for any portfolio.
Automated News Signals: A look inside his n8n server that tracks global news 24/7 to generate actionable trading signals.
The Future of Finance: Souvik and Vaibhav discuss what's next for AI in the world of trading and investing.
This is a rare, practical look inside the toolkit of a modern systematic trader. If you're interested in AI in trading, algorithmic trading, or portfolio optimization, this is a must-watch.
Groww MCP - https://github.com/souvik131/groww-ai 
Souvik Das's Twitter - https://x.com/Souvik131 
Timestamps: 
0:00 - Highlights
1:26 - Introduction
3:34 - Is AI Just Another Cycle or Something Different?
5:48 - Two Parts of Systematic Trading: Research &amp; Execution
9:51 - How Retail Traders Can Use AI
11:32 - What is MCP (Model Context Protocol)?
18:26 - Automating Multi-leg Options Trading Strategies
24:01 - How to Get Started Without Coding Knowledge
26:42 - Portfolio Optimization with AI
29:08 - Trading on News: Converting Unstructured Data to Signals
37:53 - Key Takeaways and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04/11/2025
If you have any concerns with respect to Groww, please feel free to write to us at support@groww.in or you can call us at +91 9108800000.</t>
  </si>
  <si>
    <t>https://i.ytimg.com/vi/k8BD2xBEvz4/hqdefault.jpg</t>
  </si>
  <si>
    <t>Trading Options While at Work? How to Automate Your Strategy | Trading ki Baat</t>
  </si>
  <si>
    <t>https://www.youtube.com/watch?v=hnYzC8FoiFA</t>
  </si>
  <si>
    <t>hnYzC8FoiFA</t>
  </si>
  <si>
    <t>In this episode of Trading Ki Baat, Arjun Tandon is joined by Chintan Jaggi, a Founding Member of Algotest, for a masterclass on navigating the challenges of option buying.
Chintan dives deep into:
The main drawbacks and common pitfalls that cause most option buyers to lose money.
A crucial 5-step checklist every trader must follow before deploying capital in the live market.
A complete option buying strategy based on range breakouts.
How you can automate this strategy for systematic trading.
He doesn't just share the strategy; he shows the backtest results from the last 1.5 years and, most importantly, highlights the practical problems and challenges you will face while trading it.
Chintan also discusses an option selling strategy that can be combined with this approach to help smoothen your equity curve.
If you're serious about improving your options trading, this is an episode you can't afford to miss!
Timestamps 
00:00 – Highlights
00:57 – Introduction
02:00 – How did Chintan's trading journey begin?
06:20 – Why do most option buyers lose money?
08:39 – How to build a system around your trading method?
11:48 – How to sign up on Algotest using Groww
12:46 – What is range breakout?
26:05 – What is slippage?
31:00 – Optimum capital required for options buying
41:55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27/10/2025
If you have any concerns with respect to Groww, please feel free to write to us at support@groww.in or you can call us at +91 9108800000.</t>
  </si>
  <si>
    <t>https://i.ytimg.com/vi/hnYzC8FoiFA/hqdefault.jpg</t>
  </si>
  <si>
    <t>How to Trade Natural Gas for Beginners?</t>
  </si>
  <si>
    <t>https://www.youtube.com/watch?v=b-zm0a3Cvhw</t>
  </si>
  <si>
    <t>b-zm0a3Cvhw</t>
  </si>
  <si>
    <t>In this video, Aseem Singhal breaks down everything you need to know about Natural Gas (NATGAS) — what it is, how it differs from NATGAS Mini, its tick size, and a practical trading strategy, including how to trade NATGAS options.
Perfect for both beginners and active traders, this session covers key concepts, contract details, and Aseem’s approach to trading NATGAS efficiently and managing risk.
Timestamps
00:00 – Introduction
01:16 – What is Natural Gas?
02:26 – Difference Between NATGAS and NATGAS Mini
03:07 – NATGAS Tick Size Explained
03:45 – NATGAS Trading Strategy
08:52 – How to Trade NATGAS Options
09:21 – Key Takeaways &amp;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27/10/2025
If you have any concerns with respect to Groww, please feel free to write to us at support@groww.in or you can call us at +91 9108800000.</t>
  </si>
  <si>
    <t>https://i.ytimg.com/vi/b-zm0a3Cvhw/hqdefault.jpg</t>
  </si>
  <si>
    <t>How India's Top Traders Trade the Markets | ft. Sarang Sood, Pawan Arora &amp; Praful Kulkarni |</t>
  </si>
  <si>
    <t>https://www.youtube.com/watch?v=rTn49xI-JYs</t>
  </si>
  <si>
    <t>rTn49xI-JYs</t>
  </si>
  <si>
    <t>Breakfast with Traders — Full Episode
In this episode, we sit down with two seasoned traders from opposite ends of the spectrum: Sarang Sood and Pawan Arora.
This is a deep, insightful conversation contrasting two different paths to success. Sarang Sood, a sophisticated delta neutral trader who makes his plays on market skews, joins Pawan Arora, a staunchly directional and trend-following trader.
We explore their complete journeys, including:
How they got started in the markets
Their worst trading losses and the critical lessons they learned
The process of building their unique trading systems from scratch
How they adapt their strategies to ever-evolving market conditions
The role of conviction, discipline, and psychology in their success
Whether you’re an aspiring trader or a market veteran, this episode offers a masterclass in building a professional trading career, packed with practical insights, personal stories, and real market reflections.
Timestamps:
00:00 — Highlights
00:37 — Introduction
03:33 — Meet Sarang Sood
07:00 — Meet Pawan Arora
11:35 — Deep dive into Sarang’s trading style
16:40 — Understanding Pawan’s directional trading approach
23:06 — Do drawdowns make you change your trading style?
26:00 — How do you build conviction as a trader?
27:04 — What is Skew Trading?
32:25 — Algo Trading vs Discretionary Trading
38:39 — April 18th market movement: How did it affect you?
P.S : Unfortunately, Sarang Sood’s mic had an issue during recording, so his voice may sound different at times. The conversation with Pawan Arora and Praful is unaffected. Thanks for understanding!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25/10/2025
If you have any concerns with respect to Groww, please feel free to write to us at support@groww.in or you can call us at +91 9108800000.</t>
  </si>
  <si>
    <t>https://i.ytimg.com/vi/rTn49xI-JYs/hqdefault.jpg</t>
  </si>
  <si>
    <t>Breakfast with Traders | Teaser</t>
  </si>
  <si>
    <t>https://www.youtube.com/watch?v=Sbrny5XDIkI</t>
  </si>
  <si>
    <t>Sbrny5XDIkI</t>
  </si>
  <si>
    <t>This epsiode of Breakfast with Traders features Sarang Sood and Pawan Arora, hosted by Praful Kulkarni.
It was deep dive – from directional plays to delta neutral setups.
Stay tuned!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23/10/2025
If you have any concerns with respect to Groww, please feel free to write to us at support@groww.in or you can call us at +91 9108800000.</t>
  </si>
  <si>
    <t>https://i.ytimg.com/vi/Sbrny5XDIkI/hqdefault.jpg</t>
  </si>
  <si>
    <t>2 Simple Muhurat Trading Strategies for Diwali 2025</t>
  </si>
  <si>
    <t>https://www.youtube.com/watch?v=EBVgY2QhaZU</t>
  </si>
  <si>
    <t>EBVgY2QhaZU</t>
  </si>
  <si>
    <t>It’s that special time of the year again — Muhurat Trading on Diwali 2025! 🪔
In this video, we break down simple yet effective Muhurat Trading strategies you can use to make the most of this auspicious one-hour trading window.
Timestamps: 
00:00 – Introduction
00:25 – What is Muhurat Trading?
01:10 – Overview of Previous Years’ Data
02:36 – Strategy 1
03:03 – Strategy 2
03:27 – Strategy 3: Bonus Strategy 
06:11 – Conclusion &amp; Key Takeaways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20/10/2025
If you have any concerns with respect to Groww, please feel free to write to us at support@groww.in or you can call us at +91 9108800000.</t>
  </si>
  <si>
    <t>https://i.ytimg.com/vi/EBVgY2QhaZU/hqdefault.jpg</t>
  </si>
  <si>
    <t>How to Trade Crude Oil Using Futures and Options?</t>
  </si>
  <si>
    <t>https://www.youtube.com/watch?v=lYc32tH-yoA</t>
  </si>
  <si>
    <t>lYc32tH-yoA</t>
  </si>
  <si>
    <t>In this video, Aseem breaks down everything you need to know about Crude Oil trading — from understanding what moves oil prices to mastering entry and exit criteria with a proven strategy. 
Whether you’re a beginner or looking to refine your trading edge, this video covers it all in a simple, structured way
Timestamps:
0:00 – Introduction 
0:47 – What is Crude Oil? | Basics Every Trader Should Know
2:16 – How to Trade Crude Oil | Step-by-Step Trading Guide
6:25 – Entry &amp; Exit Criteria's
13:38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15/10/2025
If you have any concerns with respect to Groww, please feel free to write to us at support@groww.in or you can call us at +91 9108800000.</t>
  </si>
  <si>
    <t>https://i.ytimg.com/vi/lYc32tH-yoA/hqdefault.jpg</t>
  </si>
  <si>
    <t>How to Trade Using Candlestick Patterns in the Stock Market?</t>
  </si>
  <si>
    <t>https://www.youtube.com/watch?v=Zs0JLjy633M</t>
  </si>
  <si>
    <t>Zs0JLjy633M</t>
  </si>
  <si>
    <t>Candlestick Patterns Explained — Learn to Read the Market Like a Pro!
In this video, we’ll break down the most important candlestick patterns every trader should know — from bullish to bearish to neutral signals.
Whether you’re a beginner or an experienced trader, this guide will help you understand how market psychology plays out on your charts.
Timestamps: 
00:00 – Highlights
01:26 – Introduction
03:04 – What are Candlesticks?
07:10 – Bullish Marubozu: Strong Uptrend Signal
11:11 – Bullish Hammer: Reversal from the Bottom
14:30 – Bullish Engulfing: Buyers Take Control
17:20 – Three White Soldiers: Momentum Confirmation
19:26 – Bearish Marubozu: Strong Downtrend Signal
22:47 – Shooting Star: Warning of Reversal
26:52 – Bearish Engulfing: Sellers Take Over
28:50 – Three Black Crows: Bearish Momentum Pattern
30:50 – Doji: The Indecision Candle (Neutral Pattern)
34:44 – Conclusion &amp; Key Takeaways
What You’ll Learn
✅ How to identify and interpret bullish, bearish, and neutral candlestick patterns
✅ The psychology behind each formation
✅ Tips for using these patterns in technical analysis and trading strategies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Chetan Panchamia
Date: 12/10/2025
If you have any concerns with respect to Groww, please feel free to write to us at support@groww.in or you can call us at +91 9108800000.</t>
  </si>
  <si>
    <t>https://i.ytimg.com/vi/Zs0JLjy633M/hqdefault.jpg</t>
  </si>
  <si>
    <t>How to trade Commodities on Groww?</t>
  </si>
  <si>
    <t>https://www.youtube.com/watch?v=OpVV9WydImo</t>
  </si>
  <si>
    <t>OpVV9WydImo</t>
  </si>
  <si>
    <t>You can now trade Commodities on Groww!
Trade in gold, silver, crude oil, natural gas, directly from the Groww app.
What's New:
Access to commodity markets (Gold, Silver, Natural Gas, and Crude Oil)
Real-time price tracking
Seamless trading experience
Easy-to-use interface
Whether you're looking to hedge against inflation, diversify your investments, or explore new trading opportunities, commodities trading on Groww makes it simple and accessible.
Timestamps:
0:00 – Introduction
0:50 – Commodities Market Overview &amp; Trading Timings
1:30 – Pre-requisites for Commodity Trading
2:05 – Commodities Available on Groww
2:33 – How to Trade Commodities on Groww (Website)
3:49 – How to Trade Commodities on Groww (App)
4:15 – Understanding Risk Parameters in Commodity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Jagdeep Singh
Date: 10/10/2025
If you have any concerns with respect to Groww, please feel free to write to us at support@groww.in or you can call us at +91 9108800000.</t>
  </si>
  <si>
    <t>https://i.ytimg.com/vi/OpVV9WydImo/hqdefault.jpg</t>
  </si>
  <si>
    <t>Volatility breakout strategy for beginners in trading</t>
  </si>
  <si>
    <t>https://www.youtube.com/watch?v=X4s8pEniu2Y</t>
  </si>
  <si>
    <t>X4s8pEniu2Y</t>
  </si>
  <si>
    <t>In this video, Algo trader Aseem Singhal explains a simple volatility-based trading concept that was backtested.
Core Idea (Backtested):
If today’s volatility is greater than the past 14 days, then buy on a green candle or sell on a red candle, and exit at the next day’s open.
What we cover:
Cumulative PnL / equity curve
PnL distribution by trade type (long vs short)
Monthly drawdown analysis &amp; recovery
Volatility ↔ Profitability: does higher vol translate to better returns?
Disclaimer:
This video is for education only. It’s a simplified test of a theory, not financial advice. Always do your own research and consider costs, slippage and risk management.
About Groww:
Groww is India’s Best Investment App and the Largest Stock Broker.
Find us here:
Android app: https://app.groww.in/v3cO/f9o4prne
iOS app: https://app.groww.in/v3cO/tu0yrc3e
Website: https://groww.in/
Twitter Handle: https://twitter.com/TradeWithGroww
Instagram Handle: https://www.instagram.com/tradingwithgroww/
For educational videos on trading, please subscribe to the Trading with Groww channel: https://openinapp.co/youtube/trading-with-groww
We also have a Kannada, Tamil, Telugu, Malayalam, and a Mutual fund channel:
Groww Kannada: https://bit.ly/3ekyeKP
Groww Tamil: https://bit.ly/3cbhN3Z
Groww Telugu: https://bit.ly/39aLpwC
Groww Malayalam: https://bit.ly/3enG2LV
Mutual Funds at Groww: https://bit.ly/3zQpR32
Groww Marathi: https://www.youtube.com/@Groww.Marathi
IPO Review by Groww: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05/10/2025
If you have any concerns with respect to Groww, please feel free to write to us at support@groww.in or you can call us at +91 9108800000.</t>
  </si>
  <si>
    <t>https://i.ytimg.com/vi/X4s8pEniu2Y/hqdefault.jpg</t>
  </si>
  <si>
    <t>What backtesting tells about chart patterns</t>
  </si>
  <si>
    <t>https://www.youtube.com/watch?v=8YhXikBY9HQ</t>
  </si>
  <si>
    <t>8YhXikBY9HQ</t>
  </si>
  <si>
    <t>In this video, we explore whether market candles are truly independent of prior candles.  
If you flip a coin and get five heads in a row, does that change the probability of the next flip being heads or tails? 
With this context in mind, we look at the Nifty, which has just formed seven consecutive red candles. 
Does this increase the chance of a green candle next, or are market moves independent events? To answer this, we present backtested data and reveal what history really tells us.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29/08/2025
If you have any concerns with respect to Groww, please feel free to write to us at support@groww.in or you can call us at +91 9108800000.</t>
  </si>
  <si>
    <t>https://i.ytimg.com/vi/8YhXikBY9HQ/hqdefault.jpg</t>
  </si>
  <si>
    <t>How the 'Big Money' Really Trades the Market | Off the Charts Episode 1</t>
  </si>
  <si>
    <t>https://www.youtube.com/watch?v=bF4GqcOHs48</t>
  </si>
  <si>
    <t>bF4GqcOHs48</t>
  </si>
  <si>
    <t>Welcome to the first episode of 'Off the Charts', a series that looks at trading in its entirety. We’ll dive into the forces, ideas, and stories that shape markets, unpack the complexities, and explore what it truly means to trade in a world that never stops changing. 
Meet Vaibhav Jain, your host for this seires. Vaibhav is a CFA and CMT charterholder and an MBA graduate from IIM Indore. With prior experience as an Investment Banker at Deutsche Bank and over a decade of personal trading experience, he brings a unique blend of professional and practical market insights to every conversation.
In this episode, Vaibhav sits down with Manan Vaishnav, Head of Societe Generale Securities India, for an in-depth discussion on the world of institutional sales trading.
Together, they dive deep into the world of institutional sales trading — exploring how the biggest players in the markets operate, how trades are placed, and what really happens behind the scenes at the trading desk. From block trades and crossing mechanisms to understanding the different approaches various market players take, this episode is packed with insights.
You’ll also learn how institutions manage risk, what happens during index and ETF rebalancing days, and what skills and mindset are needed to succeed in this high-pressure profession. Manan also shares his personal journey into the world of institutional trading and what aspiring professionals should focus on.
Timestamps:
0:00 – Introduction
3:00 – What is institutional trading?
10:30 – Do institutional traders use technical analysis?
14:50 – What is a block trade?
19:40 – Differences between hedge funds and mutual funds in trading approaches
24:55 – What are the risk management parameters institutions follow?
27:00 – Trading during rebalancing
29:45 – Manan’s journey into institutional sales trading
32:20 – What are skills needed to get into and succeed in this profession?
44:45 – Summary
If you’re curious about how institutional traders think, trade, and succeed, this is an episode you won’t want to miss.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28/09/2025
If you have any concerns with respect to Groww, please feel free to write to us at support@groww.in or you can call us at +91 9108800000.</t>
  </si>
  <si>
    <t>https://i.ytimg.com/vi/bF4GqcOHs48/hqdefault.jpg</t>
  </si>
  <si>
    <t>Beginner’s Guide to Systematic Trading (2025) | Learn Algorithmic Trading with Rakesh Pujara</t>
  </si>
  <si>
    <t>https://www.youtube.com/watch?v=pg9m0coQQ5I</t>
  </si>
  <si>
    <t>pg9m0coQQ5I</t>
  </si>
  <si>
    <t>If you’ve ever wondered how professional traders actually approach the markets, this video is for you. In this conversation, seasoned trader Rakesh Pujara walks us through the world of systematic trading — starting from the basics and gradually building up to more advanced ideas.
We begin with the role of algorithms in trading, then move into practical concepts like backtesting, expectancy, and Monte Carlo simulations to make your strategies more robust. Rakesh also explains why trying to time the market rarely works, and how instead you can apply algorithms to make decisions in a more disciplined way.
From there, we dive into trading strategies, the four pillars of returns, and why diversification and non-correlation matter. Risk management is another big part of the discussion — with insights on leverage, hedging, and how to put everything together into a complete trading framework.
By the end, you’ll have a clear picture of how systematic trading works and what it takes to start thinking like a process-driven trader. Whether you’re completely new or already exploring algorithmic trading, this session will give you practical takeaways to use on your journey.
Timestamps:
0:00 – Intro
3:30 – A guide to systematic trading
13:05 – Application of algorithms
28:20 – Algorithmic trading strategies
39:45 – The 4 pillars of returns
43:50 – Diversification
49:40 – Non-correlation
53:40 – Leverage
59:30 – Hedging
1:01:20 – A trading framework
109:25 –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Rakesh Pujara
Date: 27/09/2025
If you have any concerns with respect to Groww, please feel free to write to us at support@groww.in or you can call us at +91 9108800000.</t>
  </si>
  <si>
    <t>https://i.ytimg.com/vi/pg9m0coQQ5I/hqdefault.jpg</t>
  </si>
  <si>
    <t>3 ways pro traders adjust option strategies</t>
  </si>
  <si>
    <t>https://www.youtube.com/watch?v=QR4withfuvw</t>
  </si>
  <si>
    <t>QR4withfuvw</t>
  </si>
  <si>
    <t>In this video, Arjun sits down with Rajesh Sriwastava to break down how to adjust option strategies the right way. Rajesh explains a 10-leg options strategy and walks through multiple levels of adjustments — making it suitable for beginners, intermediate traders, and professionals alike.
He shares how these adjustments can be made based on:
Synthetic future levels
IV (Implied Volatility) movements
Premiums collected
If you’re looking to understand how pro traders manage risk, adapt to market changes, and refine their option strategies, this session will give you actionable insights to improve your trading game.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21/09/2025
If you have any concerns with respect to Groww, please feel free to write to us at support@groww.in or you can call us at +91 9108800000.</t>
  </si>
  <si>
    <t>https://i.ytimg.com/vi/QR4withfuvw/hqdefault.jpg</t>
  </si>
  <si>
    <t>Top 4 Trading Questions Answered: Handling drawdowns, revenge trading and more</t>
  </si>
  <si>
    <t>https://www.youtube.com/watch?v=Qlu5GxPQXdE</t>
  </si>
  <si>
    <t>Qlu5GxPQXdE</t>
  </si>
  <si>
    <t>In this excerpt from the Breakfast with Traders event, featuring Praful Kulkarni and Aditya Pachwaria at the latest, Praful answers 4 of the most important trading questions every trader faces:
✅ How to recover from deep drawdowns
✅ How to tackle a revenge trading mindset
✅ How to handle market bluffs
✅ How to grow your trading capital
Whether you’re a beginner or an experienced trader, this Q&amp;A is packed with practical insights to help you manage risk, control emotions, and build consistent growth in your trading journey.
Timestamps:
0:00 – How to handle deep drawdowns?
2:49 – How to tackle a revenge trading mindset?
3:49 – How to deal with the bluffs the market throws at you?
4:39 – What changes helped you grow your capital?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20/09/2025
If you have any concerns with respect to Groww, please feel free to write to us at support@groww.in or you can call us at +91 9108800000.</t>
  </si>
  <si>
    <t>https://i.ytimg.com/vi/Qlu5GxPQXdE/hqdefault.jpg</t>
  </si>
  <si>
    <t>Top Trader answers the most asked questions in Trading</t>
  </si>
  <si>
    <t>https://www.youtube.com/watch?v=ymvm3XKZMUA</t>
  </si>
  <si>
    <t>ymvm3XKZMUA</t>
  </si>
  <si>
    <t>In this video, traders who attended the Breakfast with Traders event had the opportunity to interact and get their questions answered by industry experts Harish Sharma and Praful Kulkarni. Some of the questions they asked might be the same ones you've been wondering about! Don’t miss out on this insightful Q&amp;A session!
Timestamps:
0:00 – Who are the option buyers?
6:10 – Should caution be a priority in these volatile markets?
13:50 – What is your trading approach on 0DTE?
17:30 – Do you transition between option buying and selling in different market conditions?
20:20 – If you were to start from scratch now, how would you approach the markets?
27:25 – What are your disaster management systems?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Date:
If you have any concerns with respect to Groww, please feel free to write to us at support@groww.in or you can call us at +91 9108800000.</t>
  </si>
  <si>
    <t>https://i.ytimg.com/vi/ymvm3XKZMUA/hqdefault.jpg</t>
  </si>
  <si>
    <t>What They're Not Telling You About Option Trading Risks</t>
  </si>
  <si>
    <t>https://www.youtube.com/watch?v=sJV3H29KeS4</t>
  </si>
  <si>
    <t>sJV3H29KeS4</t>
  </si>
  <si>
    <t>In this episode, Raghav Malik shares how institutions truly approach options trading. He breaks down what the real edge in trading is, and why luck may help in the short term, but only skill ensures success in the long run.
Raghav emphasizes that retail traders should stop thinking of options as simple directional bets, and instead view them as predictions on volatility. He dives deep into the difference between implied volatility (IV) and realized volatility (RV) — and explains why these two factors ultimately decide an options trader’s profit or loss over time.
Through practical examples and backtested data, he introduces the concept of the Volatility Risk Premium (VRP). Raghav shows how it has historically played out in markets, why it’s not “free money,” and why risk management is critical to harvesting VRP effectively.
If you want to understand how professionals think about options, volatility, and risk — this episode is packed with insights you won’t want to miss.
Timestamps:
0:00 – Intro
5:00 – How institutions trade
8:00 – Trading concepts
12:45 – Realized and Implied Volatility
29:00 – Volatility risk premium
34:25 –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Date:
If you have any concerns with respect to Groww, please feel free to write to us at support@groww.in or you can call us at +91 9108800000.</t>
  </si>
  <si>
    <t>https://i.ytimg.com/vi/sJV3H29KeS4/hqdefault.jpg</t>
  </si>
  <si>
    <t>How to use RSI as a trend following indicator? | Swing trading strategy in stocks and fututres</t>
  </si>
  <si>
    <t>https://www.youtube.com/watch?v=EbkLGDc73dQ</t>
  </si>
  <si>
    <t>EbkLGDc73dQ</t>
  </si>
  <si>
    <t>In this video, Arjun Tandon speaks with Saketh Ramakrishna, a young yet seasoned trader, about his shift from trading options to swing trading in equities. Saketh explains why he made this transition and shares actionable insights for traders looking to do the same.
He covers:
How RSI is calculated and how he uses it to filter his stock universe
His complete trade process — from scanning to execution
Why swing trading in equities can be a strong alternative to a derivatives-only approach
If you’re starting out in swing trading or considering moving from options to equities, this conversation is packed with practical strategies and real-world examples.
Timestamps:
0:00 – Introduction
1:47 – Why Saketh transitioned to equities
4:00 – What type of swing trading does Sakteth do? 
6:00 – What is RSI?
11:11 – The trading framework
15:35 – Examples
18:50 – How Saketh executes the trades
27:10 – Example of execution
43:00 – Recap and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06/09/2025
If you have any concerns with respect to Groww, please feel free to write to us at support@groww.in or you can call us at +91 9108800000.</t>
  </si>
  <si>
    <t>https://i.ytimg.com/vi/EbkLGDc73dQ/hqdefault.jpg</t>
  </si>
  <si>
    <t>How do the GST reforms impact traders?</t>
  </si>
  <si>
    <t>https://www.youtube.com/watch?v=sK9stIl_2GQ</t>
  </si>
  <si>
    <t>sK9stIl_2GQ</t>
  </si>
  <si>
    <t>In this video, Aseem Singhal breaks down the key sectors impacted by recent GST reforms and explains, with examples, how these changes could influence the 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04/09/2025
If you have any concerns with respect to Groww, please feel free to write to us at support@groww.in or you can call us at +91 9108800000.</t>
  </si>
  <si>
    <t>https://i.ytimg.com/vi/sK9stIl_2GQ/hqdefault.jpg</t>
  </si>
  <si>
    <t>Index options arbitrage trading strategy | What is box strategy in trading?</t>
  </si>
  <si>
    <t>https://www.youtube.com/watch?v=IFvYypVvHWU</t>
  </si>
  <si>
    <t>IFvYypVvHWU</t>
  </si>
  <si>
    <t>In this video, Aseem explains the Box Strategy — an arbitrage trading approach that combines two option spreads: a bull call spread and a bear put spread. This strategy helps traders capture pricing mismatches, and if executed at the right entry points, it can deliver risk-free, guaranteed profits.
Aseem also breaks down the practical challenges traders face when implementing the Box Strategy, such as:
The difficulty of manually spotting and executing the trades
High transaction costs that can reduce or even wipe out profits
Through a step-by-step example, viewers will gain a clear understanding of how the Box Strategy works, when it can be effective, and the limitations to keep in mind.
Timestamps:
0:00 – Introduction
1:00 – Box Strategy
2:12 – Bull call spread
2:59 – Bear put spread
3:40 – Margin requirements
4:15 – Example
8:07 – Drawbacks
9:02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03/09/2025
If you have any concerns with respect to Groww, please feel free to write to us at support@groww.in or you can call us at +91 9108800000.</t>
  </si>
  <si>
    <t>https://i.ytimg.com/vi/IFvYypVvHWU/hqdefault.jpg</t>
  </si>
  <si>
    <t>Inside a Trader’s Mind: Losses, Leverage &amp; Strategies | Aditya Pachwaria &amp; Praful Kulkarni</t>
  </si>
  <si>
    <t>https://www.youtube.com/watch?v=Mch7O7n2kqc</t>
  </si>
  <si>
    <t>Mch7O7n2kqc</t>
  </si>
  <si>
    <t>On August 10th, 2025, over 200 traders came together in Gurgaon for Breakfast with Traders — a live event designed to spark conversations, share experiences, and uncover real insights from the markets.
In this video, you’ll witness an exclusive conversation between Praful Kulkarni and Aditya Pachwaria and what unfolds is an honest, unfiltered discussion about trading — the wins, the losses, and the mindset that drives consistency.
Aditya opens up about his biggest trading loss and the lessons that shaped his journey. He talks about using leverage and his evolving relationship with money as a trader. Together, Praful and Aditya discuss concepts that help them stay competitive in ever-changing markets.
The conversation also dives into the debate between discretionary and algorithmic trading, exploring the strengths and weaknesses of both. For those interested in systematic trading, they share powerful insights on designing a trading system from first principles — a must-watch for anyone serious about developing their own edge.
Timestamps:
0:00 – Introduction
1:00 – Aditya's biggest loss
7:30 – Using Leverage
19:00 – Relationship with money
21:00 – Strategies and concepts
30 – Discretionary vs algorithmuc trading?
38:00 – Quickfire round
44:00 – Building a system on first principles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31/08/2025
If you have any concerns with respect to Groww, please feel free to write to us at support@groww.in or you can call us at +91 9108800000.</t>
  </si>
  <si>
    <t>https://i.ytimg.com/vi/Mch7O7n2kqc/hqdefault.jpg</t>
  </si>
  <si>
    <t>How to use AI in trading? | Former Banker &amp; Entrepreneur Turned Trader Reveals It</t>
  </si>
  <si>
    <t>https://www.youtube.com/watch?v=rYzKmlLJJ90</t>
  </si>
  <si>
    <t>rYzKmlLJJ90</t>
  </si>
  <si>
    <t>In this video, Souvik Das — a former banker with experience in the AI industry and now a systematic trader — shares how traders can leverage AI to enhance their trading strategies.
He breaks down the benefits of using AI in trading, such as its ability to learn, adapt, and save valuable research time, while also highlighting the drawbacks, including AI’s tendency to hallucinate and its limitations in forming independent conclusions.
Souvik also explains how he combines AI with APIs to improve research, streamline backtesting, and make trading more efficient. To top it off, he gives a live demo showcasing exactly how AI can be applied in real-world trading.
If you’re a trader looking to explore the future of systematic trading with AI, this video is packed with valuable insights.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Souvik Das
Date: 29/08/2025
If you have any concerns with respect to Groww, please feel free to write to us at support@groww.in or you can call us at +91 9108800000.</t>
  </si>
  <si>
    <t>https://i.ytimg.com/vi/rYzKmlLJJ90/hqdefault.jpg</t>
  </si>
  <si>
    <t>What is the right way to draw Trendlines in trading? | Ultimate Guide to start trading in 2025</t>
  </si>
  <si>
    <t>https://www.youtube.com/watch?v=jM2XmcDJ3cs</t>
  </si>
  <si>
    <t>jM2XmcDJ3cs</t>
  </si>
  <si>
    <t>Episode 3 | Groww ki Pathshala
Arunima is back with veteran trader Chetan Panchamia to simplify one of the most important concepts in trading—trendlines.
In this episode, they cover:
Different types of trendlines and how to draw them
The subjectivity vs. objectivity in drawing trendlines
Understanding support &amp; resistance levels
Expanding this into demand &amp; supply zones
Key thumbrules for breakouts and how to validate them using volumes
Practical case studies to apply these concepts
A simple Nifty trading strategy beginners can adopt
Whether you’re just starting your trading journey or looking to strengthen your technical analysis skills, this episode is packed with insights you can directly apply.
Timestamps:
0:00  – Introduction
1:00 – What trendlines and its types?
4:00 – Features of trendlines
6:00 – Support and Resistance
10:00 – Thumb rules for breakouts
13:00 – Volumes for validation
16:00 – Case studies
21:30 – Bonus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27/08/2025
If you have any concerns with respect to Groww, please feel free to write to us at support@groww.in or you can call us at +91 9108800000.</t>
  </si>
  <si>
    <t>https://i.ytimg.com/vi/jM2XmcDJ3cs/hqdefault.jpg</t>
  </si>
  <si>
    <t>How to Maximize Returns in Trading | 4 Pillars Explained by Rakesh Pujara</t>
  </si>
  <si>
    <t>https://www.youtube.com/watch?v=Vs3wSCv4gi8</t>
  </si>
  <si>
    <t>Vs3wSCv4gi8</t>
  </si>
  <si>
    <t>In this video, experienced trader Rakesh Pujara explains the 4 pillars of return generation in trading and how traders can maximize profits while managing risks.
We dive deep into how returns are amplified through leverage — the most powerful but also the riskiest tool in trading. Since leverage is a double-edged sword, Rakesh highlights how risk can be controlled using the other three pillars: diversification, non-correlation, and hedging.
You’ll learn:
✅ The 4 pillars of return generation in trading.
✅ How to use leverage effectively without blowing up your account.
✅ Why diversification, non-correlation, and hedging are essential risk management tools.
✅ The Monalisa Framework — a unique trading and investing system developed by Rakesh Pujara.
✅ Two systematic options trading strategies (one selling and one buying), complete with backtests showing how combining both can generate higher returns without increasing risk.
Whether you are a beginner or an advanced trader, interested in options trading, systematic strategies, or stock market risk management, this video delivers practical insights you can use to improve your trading performance.
Timestamps:
0:00 – Introduction
1:30 – 4 Pillars of Returns
6:00 – Diversification
8:30 – Non - Correlation
10:00 – Leverage
12:20 – Hedging
13:00 – Monalisa Framework
18:30 – Option Selling Strategy
23:00 – Option Buying Strategy
25:25 – Key Points and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Date:
If you have any concerns with respect to Groww, please feel free to write to us at support@groww.in or you can call us at +91 9108800000.</t>
  </si>
  <si>
    <t>https://i.ytimg.com/vi/Vs3wSCv4gi8/hqdefault.jpg</t>
  </si>
  <si>
    <t>How to Do Cashless Trading? Groww’s Pledge Margin &amp; MTF Explained</t>
  </si>
  <si>
    <t>https://www.youtube.com/watch?v=64csqupvpGs</t>
  </si>
  <si>
    <t>64csqupvpGs</t>
  </si>
  <si>
    <t>In this video, we explain Groww’s Pledge Margin feature — a powerful tool that allows you to pledge your existing stock holdings and get margin for trading. This enables cashless trading, so you can trade without selling your investments.
The Pledge Margin feature is especially useful when there’s a margin shortfall and can also be combined with the Margin Trading Facility (MTF) to enhance your buying power.
In this video, you’ll learn:
✅ What Pledge Margin is and how it works
✅ How it helps in cashless trading
✅ Two different ways to access pledged margin
✅ A step-by-step example to understand the process clearly
Whether you’re an active trader or someone looking to optimize capital usage, this guide will help you make smarter trading decisions with Groww.
Check this to learn more about the Pledge Margin feature: https://groww.in/blog/pledge-margin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21/08/2025
If you have any concerns with respect to Groww, please feel free to write to us at support@groww.in or you can call us at +91 9108800000.</t>
  </si>
  <si>
    <t>https://i.ytimg.com/vi/64csqupvpGs/hqdefault.jpg</t>
  </si>
  <si>
    <t>Software Engineer to Full-Time Trader | Sunder’s Positional Trading Setup with Supertrend</t>
  </si>
  <si>
    <t>https://www.youtube.com/watch?v=td3srID3mRE</t>
  </si>
  <si>
    <t>td3srID3mRE</t>
  </si>
  <si>
    <t>In this video, professional trader Sunderji Jayabalan shares a complete breakdown of the Supertrend Indicator and how he applies it to positional trading setups.
He begins by explaining the importance of technical indicators — while seasoned analysts can identify market direction, many newcomers struggle. Indicators like the Supertrend solve this by providing clear signals.
Sunder covers:
What the Supertrend Indicator is and how it works
How the ATR (Average True Range) powers the Supertrend to trail stop-losses effectively
His positional trading setup using the Supertrend, including rules for entry, re-entry, and trend reversals
The importance of multi-timeframe analysis: identifying the major trend on higher timeframes and executing trades in shorter timeframes
Practical execution strategies, including the use of synthetic futures for better efficiency
This session is ideal for traders interested in positional trading strategies, swing trading setups, or learning how to use the Supertrend Indicator in stock trading or futures &amp; options (F&amp;O).
 Whether you’re a beginner trader looking to understand the basics or an experienced positional trader refining your system, this video will help you improve trade entries, exits, trend following and risk management.
Timestamps:
0:00 – Introduction
7:40 – The Supertrend Indicator
14:15 – Trade Mechanics
19:20 – Multi Timeframe Analysis
25:00 – Re-Entering on a trend change
33:40 – Trade Execution
34:40 –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17/08/2025
If you have any concerns with respect to Groww, please feel free to write to us at support@groww.in or you can call us at +91 9108800000.</t>
  </si>
  <si>
    <t>https://i.ytimg.com/vi/td3srID3mRE/hqdefault.jpg</t>
  </si>
  <si>
    <t>How to use Charts in Trading? | Ultimate guide to start trading in 2025</t>
  </si>
  <si>
    <t>https://www.youtube.com/watch?v=0f057xsM2kQ</t>
  </si>
  <si>
    <t>0f057xsM2kQ</t>
  </si>
  <si>
    <t>In this video, seasoned trader Chetan Panchamia breaks down the foundations of charts in trading — perfect for beginners stepping into the markets in 2025!
He explains the different types of charts used in technical analysis — line charts, bar charts, and candlestick charts — and highlights how they differ and when to use each.
You’ll also learn:
How timeframes impact chart interpretation
How to identify and understand trends using timeframes
The origin of technical analysis, from Dow Theory to modern-day strategies
The key assumptions of Dow Theory
An introduction to price action
Deep dive into the 4 types of gaps in trading:
• Common Gap
• Breakaway Gap
• Runaway Gap
• Exhaustion Gap
How to identify and trade gaps effectively using real examples
The episode wraps up with a simple trading strategy shared by Chetan that even new traders can apply right away.
Timestamps:
0:00 – Intoduction
3:25 – What are charts and its types?
11:00 – How to use timeframes?
16:30 – Dow Theory
25:55 – What are gaps?
30:30 – Bonus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15/08/2025
If you have any concerns with respect to Groww, please feel free to write to us at support@groww.in or you can call us at +91 9108800000.</t>
  </si>
  <si>
    <t>https://i.ytimg.com/vi/0f057xsM2kQ/hqdefault.jpg</t>
  </si>
  <si>
    <t>How to use Price Action for Intraday Trading?</t>
  </si>
  <si>
    <t>https://www.youtube.com/watch?v=JiMp4B_HXbA</t>
  </si>
  <si>
    <t>JiMp4B_HXbA</t>
  </si>
  <si>
    <t>In this episode of Trading ki Baat, host Arjun Tandon is joined by expert trader Kaushhik Maall for a deep dive into price action and level based trading strategies — using a real-world case from mid-2024, when SEBI raised concerns over alleged manipulation in Bank Nifty by Jane Street.
Kaushhik walks through a practical price action trading framework, revealing how to:
Start with the daily chart to frame the setup
Drill down into hourly and 15-min charts for precise entries
Identify key levels (not all levels are important — knowing which ones matter is critical)
Recognize when your setup is being invalidated
This episode covers:
How to read market structure
How to structure and manage a trade
Executing and adjusting a trade after a market reversal
Using trailing stop losses and dynamic exit points
How to continue the analysis after entering a trade
Understanding the cycle of price action — from setup to exit
Whether you're a beginner or a seasoned trader, this episode brings you a price action full course in one power-packed conversation.
📉📈 Price tells the story — learn how to read it and trade with precision.
Timestamps:
0:00 – Highlights
0:45 – Why Kaushhik started trading?
2:45 – Advice for beginners
4:00 – Level based trading
7:45 – Right way to draw support and resistance
12:30 – How to take a trade?
20:00 – Analysis after taking the trade
29:30 – How to exit the trade?
35:00 – When to revise the levels and change bias?
43:40 –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09/08/2025
If you have any concerns with respect to Groww, please feel free to write to us at support@groww.in or you can call us at +91 9108800000.</t>
  </si>
  <si>
    <t>https://i.ytimg.com/vi/JiMp4B_HXbA/hqdefault.jpg</t>
  </si>
  <si>
    <t>Should you Predict the Market for Intraday Trading?</t>
  </si>
  <si>
    <t>https://www.youtube.com/watch?v=vV-vVs6pyr0</t>
  </si>
  <si>
    <t>vV-vVs6pyr0</t>
  </si>
  <si>
    <t>In this video, seasoned trader Arjun Tandon introduces the concept of time-based straddles—a systematic approach to trading where decisions are made based on fixed rules rather than guesses or predictions. Learn how entering trades at specific times like 9:20 AM or 9:30 AM, combined with predefined stop-loss levels such as 20%, 30%, or even 100%, can help manage risk and optimize outcomes.
Arjun presents historical data demonstrating the potential payoffs of such strategies and explains how traders can customize them by setting profit targets, trailing stop-losses, or identifying rule-based re-entry points. This methodical approach encourages discipline and reduces emotional decision-making.
If you’re new to trading and looking for a structured way to start with straddles, this video is a must-watch. Get ready to build a solid foundation for your systematic trading journey.
Timestamps:
0:00 – Randomness in the markets
1:00 – What are time based straddles?
4:05 – 30% Stoploss
5:30 – Diversifying across stoplosses
8:00 – Diversifying across entry times
11:00 – 100% Stoploss
13:10 – Exit Criteria
14:20 – Real world challenges
16:40 –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Arjun Tandon
Date: 05/08/2025
If you have any concerns with respect to Groww, please feel free to write to us at support@groww.in or you can call us at +91 9108800000.</t>
  </si>
  <si>
    <t>https://i.ytimg.com/vi/vV-vVs6pyr0/hqdefault.jpg</t>
  </si>
  <si>
    <t>3 Best Trades from Expert Traders | Options Trading Strategies</t>
  </si>
  <si>
    <t>https://www.youtube.com/watch?v=KKb60wveIb0</t>
  </si>
  <si>
    <t>KKb60wveIb0</t>
  </si>
  <si>
    <t>Discover the best trades straight from the Breakfast with Traders series! In this episode, three experienced traders - Yogeeshwar, Shijumon and Kirubakaran share their best trades, breaking down the strategies, market setups, and key lessons behind each decision. Whether you're a beginner or an active trader, you'll gain valuable insights into what makes a successful trade—and how professionals spot opportunities in live markets. Watch now to learn from real stories and level up your trading game!
Timestamps:
0:00 – Yogeeshwar's Best Trade
5:40 – Shijumon's Best Trade
10:45  – Kirubakaran's Best Trade
Watch the full videos here:
Yogeeshwar: https://youtu.be/bYipeVuTN7U?feature=shared
Shijumon Anthony: https://youtu.be/BXI_odxl-hE?feature=shared
Kirubakaran Rajendran: https://youtu.be/myyI-Wpp_kg?feature=shared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03/08/2025
If you have any concerns with respect to Groww, please feel free to write to us at support@groww.in or you can call us at +91 9108800000.</t>
  </si>
  <si>
    <t>https://i.ytimg.com/vi/KKb60wveIb0/hqdefault.jpg</t>
  </si>
  <si>
    <t>From Losses to Crores: Harish Sharma’s Options Trading Journey</t>
  </si>
  <si>
    <t>https://www.youtube.com/watch?v=kPp0HRfwhSc</t>
  </si>
  <si>
    <t>kPp0HRfwhSc</t>
  </si>
  <si>
    <t>Welcome back to Breakfast with Traders, the exclusive series where passionate traders share their real-life stories, trading strategies, and market insights over an engaging morning session. Hosted by Praful Kulkarni, a mechanical engineer from NIT Surathkal who left his central government job in 2019 to pursue full-time trading, this series brings you authentic conversations with India’s trading experts.
In this second episode, we feature Harish Sharma, an experienced index options trader since 2011. Harish’s journey is truly inspiring — starting from a humble background, he faced several losses in his initial years but never gave up. Through dedication and learning, he mastered the art of trading and eventually earned crores in profits.
Chapters:
00:00 – Welcome &amp; Introduction
01:49 – How did you get started in trading?
04:21 – Did live trading courses help in real trading?
06:30 – Why did you switch jobs and continue trading?
09:02 – When did you decide to quit your job for trading?
14:20 – What motivated you to take additional risk?
21:02 – Do you think discretionary trading still has an edge over algorithmic trading?
27:37 – Are you planning to shift into stock, commodity, or crypto options?
28:50 – What advice would you give to traders starting with 15-30 lakh capital?
31:23 – What’s your take on market manipulation?
33:40 – Will going against logical market trends make money?
38:44 – How much weight do you give to market data versus intuition?
43:24 – How do you motivate yourself after deep drawdowns?
47:29 – What do you think about brokers offering algorithms now?
51:39 – What is your personal definition of survival in trading?
53:34 – How do you build your positions on expiry days?
56:01 – How sensitive are you to MTM changes during trading?
59:31 – Are you planning to invest in equities or mutual funds alongside trading?
1:00:00 – Closing remarks 
Don’t forget to subscribe and hit the bell icon for more inspiring trader journeys and market insights!
#BreakfastWithTraders #OptionsTrading #StockMarketIndia #TradingJourney #RiskManagement #DiscretionaryTrading #MarketInsights #TraderPsychology
About Groww
Groww is India’s Best Investment App and the Largest Stock Broker.
Find us here:
Android app: https://app.groww.in/v3cO/f9o4prne
iOS app - https://app.groww.in/v3cO/tu0yrc3e
Website - https://groww.in/
RA disclaimer link: https://groww.in/p/sebi-research-analyst-regulations
For more finance content on stock market, personal finance, investing, watch our top playlists (recommended watch):
👉 Market ki Baat Groww ke Saath: https://www.youtube.com/playlist?list=PLEpfe0kiOwWoYT6T_TrGTTzVUSOEoQDgj
👉 Intelligent Investors: https://www.youtube.com/playlist?list=PLEpfe0kiOwWp9dK_l7OWnpDM4rj-hn4R-
👉 Groww Alerts: https://www.youtube.com/playlist?list=PLEpfe0kiOwWoNd_csoSmqj9CZU8bQ4vMe
👉 IPO Review: https://www.youtube.com/playlist?list=PLEpfe0kiOwWrjL9kwUTxtZsAfuyDWC5R0
👉 Monopolish stocks: https://www.youtube.com/playlist?list=PLEpfe0kiOwWrB71iTSxLhpIhkdNWDUau5
👉 Groww Xplained (case studies): https://www.youtube.com/playlist?list=PLEpfe0kiOwWqK3MYZR0oye0jNomKDutyQ
👉 Sector Spotlight: https://www.youtube.com/playlist?list=PLEpfe0kiOwWr-wtvmdmh9M3jAwiDpDu64
👉 Stocks Fundamental Analysis Series: https://www.youtube.com/playlist?list=PLEpfe0kiOwWrXnxCtZ_gNIHJvTk9Hu9WQ
👉 Viral Reacts: https://www.youtube.com/playlist?list=PLEpfe0kiOwWqWcteDPi8ji7fQ-Cu47Cid
Follow us here on other channels:
🔔 Mutual Funds at Groww - https://bit.ly/3zQpR32
🔔 Trading with Groww - https://youtube.com/c/TradingwithGroww
🔔 Groww Kannada -  https://bit.ly/3ekyeKP
🔔 Groww Tamil - https://bit.ly/3cbhN3Z
🔔 Groww Telugu - https://bit.ly/39aLpwC
🔔 Groww Malayalam https://bit.ly/3enG2LV
🔔 Ipo review by Groww - https://www.youtube.com/@iporeviewbygroww
Follow us on:
Facebook: https://www.facebook.com/growwapp/
Twitter: https://twitter.com/_groww
Instagram: https://www.instagram.com/groww_official
LinkedIn: https://in.linkedin.com/company/groww.in
Telegram: https://t.me/GrowwHQ
Stock market investing content in Hindi | Finance content in Hindi | Personal finance content in Hindi
Investment in securities market are subject to market risks, read all the related documents carefully before investing.
If you have any concerns with respect to Groww, please feel free to write to us at support@groww.in or you can call us at +91 9108800000.
#groww #growwapp #finance #investing #stock market
Research Analyst disclaimer: https://groww.in/p/sebi-research-analyst-regulations
Date: 01/08/2025</t>
  </si>
  <si>
    <t>https://i.ytimg.com/vi/kPp0HRfwhSc/hqdefault.jpg</t>
  </si>
  <si>
    <t>How to Sell Options Like a Hedge Fund | Options Trading for beginners</t>
  </si>
  <si>
    <t>https://www.youtube.com/watch?v=gccQH3dlaP4</t>
  </si>
  <si>
    <t>gccQH3dlaP4</t>
  </si>
  <si>
    <t>How to Sell Options Like a Hedge Fund | Options Trading for beginners
Discover how Tanmay Kurtkoti simplifies systematic trading for beginners in this insightful video. Tanmay dissects option trading, urging viewers not to label themselves strictly as “option buyers” or “option sellers,” but to become adaptable option traders. He explains why market conditions—not personal bias—should guide your approach.
Tanmay shines a light on common pitfalls for new traders, including the dangers of trying to profit solely from options' time decay or attempting to outguess the market. He emphasizes that lasting success requires reacting thoughtfully to evolving market conditions, not gambling on predictions or trading on widely known information with no real edge.
In this video, Tanmay shares a straightforward calendar spread strategy that’s easy to implement, guided by clear, systematic rules that anyone can follow—no coding required. He demonstrates how to adapt and adjust calendar spreads as market conditions shift, enabling traders to build consistency and repeatability into their returns.
Packed with practical wisdom and straightforward explanations, this video is a must-watch for anyone eager to start systematic trading or those looking to see complex trading topics made easy and accessible by an expert.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Tanmay Kurtkoti
Date: 29/07/2025
If you have any concerns with respect to Groww, please feel free to write to us at support@groww.in or you can call us at +91 9108800000.</t>
  </si>
  <si>
    <t>https://i.ytimg.com/vi/gccQH3dlaP4/hqdefault.jpg</t>
  </si>
  <si>
    <t>Ultimate Guide to start trading in 2025 | Trading for beginners</t>
  </si>
  <si>
    <t>https://www.youtube.com/watch?v=li51R3ns5uI</t>
  </si>
  <si>
    <t>li51R3ns5uI</t>
  </si>
  <si>
    <t>Welcome to Groww Ki Pathshala – Episode 1, a beginner-friendly trading masterclass featuring Chetan Panchamia, where the fundamentals of financial markets are broken down in a simple and easy-to-understand way. Whether you are just starting your trading journey or want to solidify your basic knowledge, this first episode in the series covers essential concepts that will set you on the path to confident trading.
In this episode, Chetan explains what a market is and how it functions, giving you an understanding of how trades happen behind the scenes. He also clarifies bid and ask prices, helping you grasp their critical role in day-to-day trading. You will get a thorough introduction to technical analysis and learn how it differs from fundamental analysis.
Additionally, the video dives into the different types of market trends – uptrend, downtrend, and range-bound markets – along with the assumptions that underpin technical analysis. Chetan also highlights the powerful influence of human emotions such as fear, greed, and hope on trading decisions.
Specifically designed for beginners, Groww Ki Pathshala makes complex trading concepts accessible and practical, providing a strong foundation for anyone looking to start investing or improve their trading mindset. 
Timestamps:
0:00 – Introduction
1:17 – What is a market?
6:00 – What are the functions of a market?
7:00 – What is Technical Analysis?
8:20 – Fundamental or Technical analysis?
14:00 – What are Bull and Bear Markets?
18:20 – What are the assumptions of Technical Analysis?
30:00 – Case Study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Date: 26/07/2025
If you have any concerns with respect to Groww, please feel free to write to us at support@groww.in or you can call us at +91 9108800000.</t>
  </si>
  <si>
    <t>https://i.ytimg.com/vi/li51R3ns5uI/hqdefault.jpg</t>
  </si>
  <si>
    <t>From 2 Lakh Debt to Crores in Trading: The Inspiring Journey of a Self-Made Trader</t>
  </si>
  <si>
    <t>https://www.youtube.com/watch?v=bjTFZqbmzW4</t>
  </si>
  <si>
    <t>bjTFZqbmzW4</t>
  </si>
  <si>
    <t>From starting with a ₹2 lakh debt to building a fortune through trading, Rakesh Pujara shares his incredible and inspiring journey.  @rakeshpujara1 
With over 20 years of experience in the markets, Rakesh opens up about his humble beginnings and the mistakes he made along the way. From being one of the first to embrace systematic and algorithmic trading to mastering the technical skills required for success, he reveals how anyone can build their own strategies and systems.
Packed with real-world insights and practical lessons, this video is a must-watch for traders and anyone looking to learn from genuine market experience.
Timestamps:
0:00​ - Introduction
1:40​ - Why Rakesh Pujara got into the markets
9:27​ - His educational journey
16:30​ - Professional and work life
23:40​ - Entrepreneurship and setup of a prop desk
30:52​ - Journey of systematic trading
46:47​ - Views on cryptocurrencies
49:05​ - How to build your own system
1:04:30​ - Views on the current situation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Date:
If you have any concerns with respect to Groww, please feel free to write to us at support@groww.in or you can call us at +91 9108800000.</t>
  </si>
  <si>
    <t>https://i.ytimg.com/vi/bjTFZqbmzW4/hqdefault.jpg</t>
  </si>
  <si>
    <t>How to get Historical Data through Algo Trading? – Episode 10</t>
  </si>
  <si>
    <t>https://www.youtube.com/watch?v=U3bnYGwIMT8</t>
  </si>
  <si>
    <t>U3bnYGwIMT8</t>
  </si>
  <si>
    <t>In part 10 of our API series, Arjun Tandon takes you through the process of using Groww APIs to access historical data.
Whether you're looking for OHLC details (Open, High, Low, Close) for any specific timeframe—be it 1-minute, 5-minute, or daily data—this tutorial covers it all. Learn how to retrieve precise historical data which can then be used to build and backtest your own trading strategies.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Arjun Tandon
Date: 16/07/2025
If you have any concerns with respect to Groww, please feel free to write to us at support@groww.in or you can call us at +91 9108800000.</t>
  </si>
  <si>
    <t>https://i.ytimg.com/vi/U3bnYGwIMT8/hqdefault.jpg</t>
  </si>
  <si>
    <t>How to Fetch Margin Data through Algo Trading? – Episode 9</t>
  </si>
  <si>
    <t>https://www.youtube.com/watch?v=n0qnVcweNV4</t>
  </si>
  <si>
    <t>n0qnVcweNV4</t>
  </si>
  <si>
    <t>In Part 9 of our API series, Arjun Tandon breaks down everything you need to know about accessing margin requirements using Groww's APIs. From checking the margin available in your account to calculating the margins required for single-leg and multi-leg options strategies — he covers it all in detail.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Arjun Tandon
Date: 13/07/2025
If you have any concerns with respect to Groww, please feel free to write to us at support@groww.in or you can call us at +91 9108800000.</t>
  </si>
  <si>
    <t>https://i.ytimg.com/vi/n0qnVcweNV4/hqdefault.jpg</t>
  </si>
  <si>
    <t>Is Manipulation Real in Stock Markets?</t>
  </si>
  <si>
    <t>https://www.youtube.com/watch?v=hbsi6U8T_dI</t>
  </si>
  <si>
    <t>hbsi6U8T_dI</t>
  </si>
  <si>
    <t>Catch the full video here - https://youtu.be/6WPR8yvVqOo?si=ntgyKxMydzjbj0ct
Timestamps:
0:00 – Is manipulation happening in the markets?
2:03 – With brokers offering algos, how will the markets change?
3:40 – What motivated you to take additional risk?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Date:
If you have any concerns with respect to Groww, please feel free to write to us at support@groww.in or you can call us at +91 9108800000.</t>
  </si>
  <si>
    <t>https://i.ytimg.com/vi/hbsi6U8T_dI/hqdefault.jpg</t>
  </si>
  <si>
    <t>What were the strategies that got Jane Street banned?</t>
  </si>
  <si>
    <t>https://www.youtube.com/watch?v=-eTI_o7yp0E</t>
  </si>
  <si>
    <t>-eTI_o7yp0E</t>
  </si>
  <si>
    <t>In this video, Aseem Singhal breaks down the trading strategy that led to SEBI banning Jane Street from the Indian markets. He provides an in-depth analysis of the SEBI report, revealing how Jane Street manipulated the markets by buying underlying stocks and taking reverse positions in options. Whether you're a retail trader impacted by these market spikes or simply curious about how this unfolded, this video is a must-watch for anyone seeking clarity on the situation.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08/07/2025
If you have any concerns with respect to Groww, please feel free to write to us at support@groww.in or you can call us at +91 9108800000.</t>
  </si>
  <si>
    <t>https://i.ytimg.com/vi/-eTI_o7yp0E/hqdefault.jpg</t>
  </si>
  <si>
    <t>How to Modify Orders Using an API for Algo Trading? – Episode 8</t>
  </si>
  <si>
    <t>https://www.youtube.com/watch?v=guJrJ59l5qY</t>
  </si>
  <si>
    <t>guJrJ59l5qY</t>
  </si>
  <si>
    <t>In Part 8 of our API series, Arjun demonstrates how to modify orders using APIs. He begins by explaining the process of order cancellation, followed by a step-by-step guide on how to modify existing orders. Learn how to easily adjust order type, quantity, and price with just a few lines of code. Don't miss out on this valuable tutorial – tune in now!
Check out our API here — https://groww.in/trade-api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Arjun Tandon
Date: 01/07/2025
If you have any concerns with respect to Groww, please feel free to write to us at support@groww.in or you can call us at +91 9108800000.</t>
  </si>
  <si>
    <t>https://i.ytimg.com/vi/guJrJ59l5qY/hqdefault.jpg</t>
  </si>
  <si>
    <t>How to do Swing Trading like a pro using this Supertrend strategy? | MTF</t>
  </si>
  <si>
    <t>https://www.youtube.com/watch?v=kKU4UwpOsqk</t>
  </si>
  <si>
    <t>kKU4UwpOsqk</t>
  </si>
  <si>
    <t>In this video, seasoned trader Aseem Singhal breaks down the concept of MTF (Margin Trading Facility) and shares one of his favorite strategies, which is a unique twist on the popular Supertrend indicator. Don’t miss out—watch now to learn more!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26/06/2025
If you have any concerns with respect to Groww, please feel free to write to us at support@groww.in or you can call us at +91 9108800000.</t>
  </si>
  <si>
    <t>https://i.ytimg.com/vi/kKU4UwpOsqk/hqdefault.jpg</t>
  </si>
  <si>
    <t>How to do Pair Trading as a beginner? The complete guide</t>
  </si>
  <si>
    <t>https://www.youtube.com/watch?v=IMyp_kHonus</t>
  </si>
  <si>
    <t>IMyp_kHonus</t>
  </si>
  <si>
    <t>In this video, we break down pair trading step by step—explaining what it is, how to select the best stocks for pair trading, how to manage your positions, and when to close them. If you're looking to get started with pair trading, this is the perfect guide for you!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Jasmin Malhotra
Date: 25/06/2025
If you have any concerns with respect to Groww, please feel free to write to us at support@groww.in or you can call us at +91 9108800000.</t>
  </si>
  <si>
    <t>https://i.ytimg.com/vi/IMyp_kHonus/hqdefault.jpg</t>
  </si>
  <si>
    <t>How Margin Trading Can Boost Your Buying Power | MTF Simplified</t>
  </si>
  <si>
    <t>https://www.youtube.com/watch?v=_ZH5q7-Yiys</t>
  </si>
  <si>
    <t>_ZH5q7-Yiys</t>
  </si>
  <si>
    <t>In this video, Jasmin explains everything you need to know about Margin Trading Facility (MTF) on Groww — how it works, how to activate it, and how to use it within the app. 
She walks you through the advantages of using MTF, such as increased buying power and trading flexibility, while also highlighting the key risks like interest charges and potential margin calls. 
Whether you're an active trader or a curious investor, this video gives you clear, step-by-step guidance on placing margin trades responsibly. It’s ideal for those looking to leverage capital smartly and make informed decisions. 
Watch now to understand MTF better and trade more confidently with Groww!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Jasmin Malhotra
Date: 23rd June 2025
If you have any concerns with respect to Groww, please feel free to write to us at support@groww.in or you can call us at +91 9108800000.</t>
  </si>
  <si>
    <t>https://i.ytimg.com/vi/_ZH5q7-Yiys/hqdefault.jpg</t>
  </si>
  <si>
    <t>How to Use Options to Replicate Futures in Trading?</t>
  </si>
  <si>
    <t>https://www.youtube.com/watch?v=GO4HC4Yr0VQ</t>
  </si>
  <si>
    <t>GO4HC4Yr0VQ</t>
  </si>
  <si>
    <t>In this video, you’ll learn everything about synthetic futures and how to create them using options with precision and clarity.
We’ll break down the concept in a simple way—what synthetic futures are, how they work, and why traders use them.
Jasmin explains how to build long and short synthetic futures positions using calls and puts.
You’ll also understand the key benefits, risks, and practical scenarios where synthetic futures can be more effective than actual futures.
Whether you're a beginner or a seasoned trader, this video will add a powerful strategy to your options toolkit.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Jasmin Malhotra
Date: 21st June 2025
If you have any concerns with respect to Groww, please feel free to write to us at support@groww.in or you can call us at +91 9108800000.</t>
  </si>
  <si>
    <t>https://i.ytimg.com/vi/GO4HC4Yr0VQ/hqdefault.jpg</t>
  </si>
  <si>
    <t>How to Use APIs to Monitor Your Trades Live in Algo Trading? – Episode 7</t>
  </si>
  <si>
    <t>https://www.youtube.com/watch?v=y0JB1BiE7Ig</t>
  </si>
  <si>
    <t>y0JB1BiE7Ig</t>
  </si>
  <si>
    <t>In Part 7 of our API Playlist, we dive into one of the most crucial aspects of algo trading — tracking your trades in real time using APIs. After learning how to place orders through APIs in the previous video, it's now time to take the next step: monitoring those trades live and effortlessly.
In this video, Arjun breaks down the entire process in a clear, beginner-friendly manner. You'll understand how to fetch trade data, manage positions, and stay updated on your orders — all using API calls. Whether you're building a full-fledged algo system or just getting started, real-time tracking is essential, and this video shows you exactly how to implement it.
Don’t miss this important piece of the algo trading puzzle. Watch now and level up your trading automation game!
Check out our API here — https://groww.in/trade-api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Arjun Tandon
Date: 19 June 2025
If you have any concerns with respect to Groww, please feel free to write to us at support@groww.in or you can call us at +91 9108800000.</t>
  </si>
  <si>
    <t>https://i.ytimg.com/vi/y0JB1BiE7Ig/hqdefault.jpg</t>
  </si>
  <si>
    <t>Master These 5 Intraday Strategies Before Your Next Trade</t>
  </si>
  <si>
    <t>https://www.youtube.com/watch?v=XlryGjTWQjk</t>
  </si>
  <si>
    <t>XlryGjTWQjk</t>
  </si>
  <si>
    <t>In this video, Aseem Singhal dives deep into 5 powerful intraday trading strategies that every trader must know to navigate the markets with confidence. Whether you're a beginner trying to find your footing or an experienced trader looking to sharpen your edge, these strategies are practical, actionable, and tailored for real market conditions.
Watch now!!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17 June 2025
If you have any concerns with respect to Groww, please feel free to write to us at support@groww.in or you can call us at +91 9108800000.</t>
  </si>
  <si>
    <t>https://i.ytimg.com/vi/XlryGjTWQjk/hqdefault.jpg</t>
  </si>
  <si>
    <t>The Best Way to Filter Stocks for Successful Intraday Trading is Here</t>
  </si>
  <si>
    <t>https://www.youtube.com/watch?v=TmT9Gd7gzlw</t>
  </si>
  <si>
    <t>TmT9Gd7gzlw</t>
  </si>
  <si>
    <t>In this video, we introduce our newly launched feature — the Intraday Screener, designed to help users identify the best stocks for intraday trading. With a variety of powerful filters such as MACD, RSI, and more, users can easily narrow down their stock choices. Additionally, they can sort results based on key factors like Market Cap, ensuring they make informed trading decisions.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16 June 2025
If you have any concerns with respect to Groww, please feel free to write to us at support@groww.in or you can call us at +91 9108800000.</t>
  </si>
  <si>
    <t>https://i.ytimg.com/vi/TmT9Gd7gzlw/hqdefault.jpg</t>
  </si>
  <si>
    <t>How Gap-Up Trading Strategies Perform in Indian Markets (With Real Data)</t>
  </si>
  <si>
    <t>https://www.youtube.com/watch?v=uP5VreGrCW0</t>
  </si>
  <si>
    <t>uP5VreGrCW0</t>
  </si>
  <si>
    <t>In Episode 2 of Trading Papers Decoded, season algo trader Aseem Singhal delves into a research paper focused on a strategy based on trading gap-ups. The paper, which examines Swiss markets, highlights six strategies that can be used. Aseem breaks down each strategy in detail and demonstrates how they perform in the Indian markets. Tune in to find out!
Timestamps:
0:00 – Intro
1:20 – Previous episode summary
3:00 – What is a price gap?
6:40 – What happens when there is a 6% gap up?
8:20 – Breaking down the research paper
11:00 – Strategies
22:00 – Backtested results on Indian markets
25:30 – What is discretionary trading?
30:00 – Can newcomers trade this strategy?
32:00 – Key takeaways and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</si>
  <si>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https://i.ytimg.com/vi/uP5VreGrCW0/hqdefault.jpg</t>
  </si>
  <si>
    <t>How this Pro Trader Nails Strangles Every Time | Trading Ki Baat</t>
  </si>
  <si>
    <t>https://www.youtube.com/watch?v=JbV8FpZVqxA</t>
  </si>
  <si>
    <t>JbV8FpZVqxA</t>
  </si>
  <si>
    <t>In Episode 19 of Trading Ki Baat, veteran trader Ved Jaiswal unveils his comprehensive strategy for trading strangles. From selecting the ideal entry point to managing positions amidst unexpected market moves and implementing effective hedging techniques, we cover it all. Don't miss this insightful episode packed with valuable tips and strategies!
Timestamps:
0:00 – Intro
1:00 – Ved's approach to trading
15:30 – Adjusting a Strangle
24:50 – Primary entry criteria
28:30 – Secondary entry (Management)
29:30 – Exit criteria
31:30 – Hedging
35:40 – Example Strategy
47:00 – Final advice and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14/06/2025
If you have any concerns with respect to Groww, please feel free to write to us at support@groww.in or you can call us at +91 9108800000.</t>
  </si>
  <si>
    <t>https://i.ytimg.com/vi/JbV8FpZVqxA/hqdefault.jpg</t>
  </si>
  <si>
    <t>How to place orders through APIs in Algo Trading? – Episode 6</t>
  </si>
  <si>
    <t>https://www.youtube.com/watch?v=J8pqOmjuZOs</t>
  </si>
  <si>
    <t>J8pqOmjuZOs</t>
  </si>
  <si>
    <t>In this video, we’ll walk you through the process of placing automated orders using Python for algo trading. If you're ready to step into the world of algorithmic trading and say goodbye to manual trading, this tutorial is just for you! 📊
We start by explaining the basics of how manual trading works and how you can automate the entire process using Python. You'll learn how to fire orders directly to the exchange without any manual intervention, a crucial skill for any trader looking to optimize their strategies.
Here’s what you’ll learn:
The Basics of Algo Trading: Understand the fundamentals of algorithmic trading and how it can help you execute trades faster and more efficiently.
Python for Trading: Learn how to leverage Python to automate order placement and connect with trading APIs like Grow API.
Creating and Sending Orders: We’ll cover how to define order parameters such as quantity, price, segment, product type, and validity, and how to send these details to the trading server.
Placing Market Orders, Limit Orders, and Stop Loss Orders: You will see how to place various types of orders using Python, and the code behind each one.
Real-Time Order Execution: Get insights into how to execute orders directly on the trading terminal with no manual interference.
00:00: Introduction to Automated Order Placement
00:58: Parameters for Order Placement
02:24: Using Groww API for Order Placement
07:09: Types of Orders (Market, Limit, Stop Loss, Stop Loss Market)
22:40: Conclusion and Next Steps
By the end of this episode, you’ll have a solid understanding of how automated trading works and how you can start placing orders like a pro using Python! Whether you are a beginner or looking to enhance your trading skills, this guide will help you get started on your algo trading journey.
Check out our API here — https://groww.in/trade-api
🔔 Don't forget to like, share, and subscribe for more tutorials on algo trading and Python programming.
#AlgoTrading #PythonTrading #AutomatedTrading #StockMarket #PythonForTrading #TradingAutomation #AlgoTrader #TradingTutorial #MarketOrders #PythonTutorial #InvestmentTips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</si>
  <si>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https://i.ytimg.com/vi/J8pqOmjuZOs/hqdefault.jpg</t>
  </si>
  <si>
    <t>Master Chart Reading Like a Pro</t>
  </si>
  <si>
    <t>https://www.youtube.com/watch?v=vKJQAN4FyMA</t>
  </si>
  <si>
    <t>vKJQAN4FyMA</t>
  </si>
  <si>
    <t>In this video, Aseem breaks down the fundamentals of trading, covering essential topics like different types of charts, key indicators, and popular chart patterns. Watch to gain a clear and solid understanding of the core concepts every trader needs to know.
Timestamps:
0:00 – Intro
0:30 – Types of charts
4:05 – Indicators
7:18 – Chart patterns
9:50 – Support and Resistance
10:30 –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10/06/2025
If you have any concerns with respect to Groww, please feel free to write to us at support@groww.in or you can call us at +91 9108800000.</t>
  </si>
  <si>
    <t>https://i.ytimg.com/vi/vKJQAN4FyMA/hqdefault.jpg</t>
  </si>
  <si>
    <t>How to backtest MACD strategy the right way? Ft. Aseem Singhal</t>
  </si>
  <si>
    <t>https://www.youtube.com/watch?v=lEN7Dxt0hu8</t>
  </si>
  <si>
    <t>lEN7Dxt0hu8</t>
  </si>
  <si>
    <t>In this MACD trading masterclass, we’ll take you through the best way to master MACD (Moving Average Convergence Divergence) for successful trading. Whether you're a beginner or an experienced trader, this video will help you understand the power of MACD in identifying trends, spotting potential buy/sell signals, and enhancing your technical analysis.
The MACD indicator is one of the most popular tools used by traders to analyze price movements and trends in the stock market. In this MACD trading masterclass, we’ll dive into everything you need to know about the MACD strategy, including how to effectively use it for timing entries and exits, spotting bullish and bearish trends, and understanding the importance of MACD crossovers.
00:00 - Kickoff: Dive into trading papers with a focus on MACD!
00:18 - Meet Aseem: Trading guru with algo expertise.
01:00 - Why We’re Here
01:42 - Game Plan: Testing MACD strategies on Indian stocks.
02:26 - MACD 101: Momentum indicator decoded (12, 26, 9).
03:44 - Why MACD?: Trend-following power vs. RSI.
04:45 - Pick Your Tool: Why traders choose MACD.
07:23 - Is MACD Legit?: Aseem’s tests on stocks &amp; indices.
08:20 - The Source: SSRN paper fueling our MACD dive.
10:32 - Strategy #1: Signal Line Crossover – buy/sell basics.
13:27 - Strategy #1 Flop: Too many trades, low profits.
14:34 - Strategy #1 Results: Long trades win, shorts tank.
17:44 - Strategy #2: Zero Crossover – fewer trades, big swings.
20:45 - Strategy #2 Results: Profitable but shaky consistency.
22:54 - Strategy #3: Histogram – nailing reversals.
26:48 - Strategy #3 Results: Solid but bruised by 2020 crash.
29:29 - Strategy #4: Signal Crossover Above Zero – trend-chasing gold.
33:34 - Strategy #4 Hack: Crush it on 5-min/15-min charts.
35:07 - Level Up: Add price action, stop losses to MACD.
36:28 - MACD in 2025?: Still a champ with fresh data.
37:38 - Newbie Tips: Paper trade, set stops, aim for targets.
40:13 - Why White Papers?: Fresh ideas, worth the grind.
42:17 - Wrap-Up: Long trades shine, shorts need work.
If you’ve been looking to refine your trading strategies and unlock the full potential of the MACD indicator, this masterclass is perfect for you! We’ll break it down step by step so you can confidently apply MACD to your trading setups.
Don’t forget to like, subscribe, and hit the bell icon to stay updated with all our latest trading strategies and tutorials on technical analysis, stock market tips, and more. Share your thoughts or any questions you have in the comments below — we love engaging with our trading community!
#MACD #MACDforTrading #TechnicalAnalysis #TradingTips #TradingWithGroww #StockMarket #TradingSuccess #TradingMasterclass
Join us in this journey to become a more knowledgeable and successful trader with Trading with Groww!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</si>
  <si>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https://i.ytimg.com/vi/lEN7Dxt0hu8/hqdefault.jpg</t>
  </si>
  <si>
    <t>How this Quant Trader Makes Consistent Gains: His Key Strategy</t>
  </si>
  <si>
    <t>https://www.youtube.com/watch?v=yORQfR-X4Uo</t>
  </si>
  <si>
    <t>yORQfR-X4Uo</t>
  </si>
  <si>
    <t>In Episode 18 of Trading Ki Baat, quantitative trader Tanmay Kurtkoti shares a simple, beginner-friendly options trading strategy that’s easy to implement. He starts with the fundamentals, breaking down how the Greeks influence options, when to consider calendar spreads, and how to choose the right one for your trades. Don’t miss out—watch the video to learn actionable insights that can elevate your trading game!
Timestamps:
0:00 – Intro
1:00 – Tanmay's background
4:35 – Nature of the market
9:00 – What is a calendar spread?
14:40 – How the Greeks affect calendar spreads?
22:30 – When should we trade calendar spreads?
32:50 – Long or Short calendar spread?
37:20 – How to enter quantitative trading?
39:15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07/06/2025
If you have any concerns with respect to Groww, please feel free to write to us at support@groww.in or you can call us at +91 9108800000.</t>
  </si>
  <si>
    <t>https://i.ytimg.com/vi/yORQfR-X4Uo/hqdefault.jpg</t>
  </si>
  <si>
    <t>How to Easily Fetch LTP and OHLC Data Using Python for Algo Trading? – Episode 5</t>
  </si>
  <si>
    <t>https://www.youtube.com/watch?v=cqXZ008X-4s</t>
  </si>
  <si>
    <t>cqXZ008X-4s</t>
  </si>
  <si>
    <t>In Part 5 of the API Playlist, Arjun dives into the process of effortlessly fetching the latest market data, including LTP (Last Traded Price) and OHLC (Open, High, Low, Close) values, using Python. 
This tutorial is a must-watch for those looking to streamline data collection for algorithmic trading strategies. Arjun breaks down the steps and provides insights into how to efficiently retrieve and utilize this crucial market data in your trading algorithms.
Check out our API here — https://groww.in/trade-api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5th June 2025
If you have any concerns with respect to Groww, please feel free to write to us at support@groww.in or you can call us at +91 9108800000.</t>
  </si>
  <si>
    <t>https://i.ytimg.com/vi/cqXZ008X-4s/hqdefault.jpg</t>
  </si>
  <si>
    <t>How to Access Your Portfolio Using Algos: A Step-by-Step Guide – Episode 4</t>
  </si>
  <si>
    <t>https://www.youtube.com/watch?v=9u0ux6ezzpc</t>
  </si>
  <si>
    <t>9u0ux6ezzpc</t>
  </si>
  <si>
    <t>In Episode 4, Arjun walks you through how to leverage the setup from previous episodes to effortlessly fetch your portfolios, holdings, and positions using powerful APIs and algorithms. Follow along step-by-step as Arjun demonstrates the process, making it easy to understand and apply. Don’t miss it!
0:00 – Intro
0:55 – Get Holdings
5:55 – Get Positions
10:15 – Get Positions for a symbol
11:35 – Summary
Check out our API here — https://groww.in/trade-api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Arjun Tandon
Date: 01/06/2025
If you have any concerns with respect to Groww, please feel free to write to us at support@groww.in or you can call us at +91 9108800000.</t>
  </si>
  <si>
    <t>https://i.ytimg.com/vi/9u0ux6ezzpc/hqdefault.jpg</t>
  </si>
  <si>
    <t>How to Manage Risk in Intraday Trading?</t>
  </si>
  <si>
    <t>https://www.youtube.com/watch?v=EEw2wU8Gyl0</t>
  </si>
  <si>
    <t>EEw2wU8Gyl0</t>
  </si>
  <si>
    <t>In this video, Aseem breaks down key risk management strategies for intraday trading. He covers how to set stop losses effectively, find the right risk-to-reward ratio, and size your positions wisely. If you’re new to trading, these tips will help you protect your capital and trade with confidence. A must-watch for every beginner!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31/05/2025
If you have any concerns with respect to Groww, please feel free to write to us at support@groww.in or you can call us at +91 9108800000.</t>
  </si>
  <si>
    <t>https://i.ytimg.com/vi/EEw2wU8Gyl0/hqdefault.jpg</t>
  </si>
  <si>
    <t>How to Trade Commodities Futures &amp; Options (FnO) Like a Pro</t>
  </si>
  <si>
    <t>https://www.youtube.com/watch?v=4FXEyorIAHA</t>
  </si>
  <si>
    <t>4FXEyorIAHA</t>
  </si>
  <si>
    <t>Link to join the Commodity Trading Waitlist: https://trygroww.typeform.com/to/MMXVCDAR
on Groww
In this video, Aseem explains how trading in commodities Futures and Options (FnO) works, covering contract expiries and the minimum requirements needed to trade in these segments. Make sure to watch till the end and gain valuable insights to enhance your trading knowledge!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Aseem Singhal
Date: 29/05/25 
If you have any concerns with respect to Groww, please feel free to write to us at support@groww.in or you can call us at +91 9108800000.</t>
  </si>
  <si>
    <t>https://i.ytimg.com/vi/4FXEyorIAHA/hqdefault.jpg</t>
  </si>
  <si>
    <t>How to Use Groww API for Algo Trading? – Episode 3</t>
  </si>
  <si>
    <t>https://www.youtube.com/watch?v=UnA3upqGVMI</t>
  </si>
  <si>
    <t>UnA3upqGVMI</t>
  </si>
  <si>
    <t>In episode 3 of our API series, Arjun walks you through accessing Groww’s trading APIs to fetch data, place orders, and more — building on everything covered in the last episode. Watch now and don’t miss your chance to take your trading skills to the next level!
Check out our API here — https://groww.in/trade-api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narrator: Arjun Tandon
Date: 28/05/2025
If you have any concerns with respect to Groww, please feel free to write to us at support@groww.in or you can call us at +91 9108800000.</t>
  </si>
  <si>
    <t>https://i.ytimg.com/vi/UnA3upqGVMI/hqdefault.jpg</t>
  </si>
  <si>
    <t>The Complete Beginner’s Guide to Pair Trading | Trading ki Baat</t>
  </si>
  <si>
    <t>https://www.youtube.com/watch?v=qrx0yO_l9nQ</t>
  </si>
  <si>
    <t>qrx0yO_l9nQ</t>
  </si>
  <si>
    <t>In Episode 17 of Trading ki Baat, we had the pleasure of hosting Shikha Pruthi — our very first lady guest on the podcast series. 
Shikha brings over a decade of invaluable experience in the financial markets and is widely recognised for her expertise in options trading and risk management.
In this insightful episode, she dives deep into the concept of pair trading, breaking down its nuances and sharing practical strategies that traders of all levels can apply. Whether you're new to pair trading or looking to refine your approach, Shikha’s detailed explanations and real-world examples make this episode a must-watch.
0:00 Introduction &amp; Background
0:30 First Female Guest &amp; Trading Potential of Women
1:03 Welcome Shikha &amp; Importance of Female Traders
1:29 Challenges Women Face in Trading
4:04 Shikha’s Trading Journey Starts
6:13 Break from Market Due to Pregnancy
7:00 Comeback and Relearning Options
8:33 Introduction to Pair Trading
9:24 Basics of Pair Trading
10:05 Stock Selection for Pair Trading
11:35 Correlation in Pair Trading
13:41 Example of Pair Trade: BPCL &amp; HPCL
15:30 Profit and Loss Scenarios
17:04 Risk Management and Stop Loss
18:01 Real-Life Trade Examples
19:07 Stock and Sector Selection
23:01 Handling Sector Volatility
25:00 Managing Losses and Mental Strength
26:37 Banking Sector Correlation
29:00 Risk Management Approach
30:02 Use of Baskets and RMS
31:32 Position Sizing and Capital Management
33:00 Sector Diversification
35:00 Profit Booking and Exit Strategies
36:14 Beginner Tips for Pair Trading
37:48 Closing Remarks and Thank You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</si>
  <si>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https://i.ytimg.com/vi/qrx0yO_l9nQ/hqdefault.jpg</t>
  </si>
  <si>
    <t>How to Setup Your Algo Trading Toolkit? – Episode 2</t>
  </si>
  <si>
    <t>https://www.youtube.com/watch?v=9N8bAMfYzTo</t>
  </si>
  <si>
    <t>9N8bAMfYzTo</t>
  </si>
  <si>
    <t>In this Episode, Arjun helps you get started with algo trading. He walks you through a step-by-step setup of Python and Visual Studio Code — two essential tools every algo trader needs. Whether you’re a beginner or looking to streamline your workflow, this tutorial will have you ready to build and run trading algorithms with confidence. Let’s dive in!
Check out our API here — https://groww.in/trade-api
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Name of the RA: Aakash Baid
Name of the narrator: Arjun Tandon
Date: 23/05/25
If you have any concerns with respect to Groww, please feel free to write to us at support@groww.in or you can call us at +91 9108800000.</t>
  </si>
  <si>
    <t>https://i.ytimg.com/vi/9N8bAMfYzTo/hqdefault.jpg</t>
  </si>
  <si>
    <t>How to Start Algo Trading for Beginners | Algo trading kaise karte hain? – Episode 1</t>
  </si>
  <si>
    <t>https://www.youtube.com/watch?v=Cbm2zCGczXU</t>
  </si>
  <si>
    <t>Cbm2zCGczXU</t>
  </si>
  <si>
    <t>How to Start Algo Trading for Beginners | Algo trading kya hai? | Algo trading kaise karte hain?
In Episode 1, Arjun Tandon provides a clear and easy-to-understand introduction to APIs and their role in algorithmic trading. We break down the fundamentals of algo trading, debunk common myths surrounding it, and give you a solid foundation to start your journey. 
About Groww
Groww is India’s Best Investment App and the Largest Stock Broker.
Check out our API here — https://groww.in/trade-api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Arjun Tandon
Date: 21 May 2025
If you have any concerns with respect to Groww, please feel free to write to us at support@groww.in or you can call us at +91 9108800000.</t>
  </si>
  <si>
    <t>https://i.ytimg.com/vi/Cbm2zCGczXU/hqdefault.jpg</t>
  </si>
  <si>
    <t>How W.D. Gann Used Math &amp; Time Cycles for Trading Success!</t>
  </si>
  <si>
    <t>https://www.youtube.com/watch?v=-SQixn7dBsI</t>
  </si>
  <si>
    <t>-SQixn7dBsI</t>
  </si>
  <si>
    <t>In this video, Aseem dives into the powerful tools developed by legendary trader W.D. Gann. Using geometry and angles to calculate key support and resistance levels, Aseem demonstrates how Gann’s mathematical approach shaped his trading system. He also provides practical examples, showing how modern traders can apply these concepts in their own strategies.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19/05/25
If you have any concerns with respect to Groww, please feel free to write to us at support@groww.in or you can call us at +91 9108800000.</t>
  </si>
  <si>
    <t>https://i.ytimg.com/vi/-SQixn7dBsI/hqdefault.jpg</t>
  </si>
  <si>
    <t>Is Point and Figure Trading REALLY Better Than Technical Analysis?</t>
  </si>
  <si>
    <t>https://www.youtube.com/watch?v=6_TdKtAs0vs</t>
  </si>
  <si>
    <t>6_TdKtAs0vs</t>
  </si>
  <si>
    <t>In this video, Aseem Singhal dives deep into the world of Point &amp; Figure charts. He explains how to read these unique charts, explores effective trading strategies that work best with them, and highlights why Point &amp; Figure charts can offer advantages over traditional charting methods.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15th May 2025
About Groww
Groww is India’s Best Investment App and the Largest Stock Broker.
Find us here:
Android app: https://app.groww.in/v3cO/f9o4prne
iOS app - https://app.groww.in/v3cO/tu0yrc3e
Website - https://groww.in/
If you have any concerns with respect to Groww, please feel free to write to us at support@groww.in or you can call us at +91 9108800000.</t>
  </si>
  <si>
    <t>https://i.ytimg.com/vi/6_TdKtAs0vs/hqdefault.jpg</t>
  </si>
  <si>
    <t>Gain the Statistical Edge: Using Regression Analysis in Trading</t>
  </si>
  <si>
    <t>https://www.youtube.com/watch?v=WxNgfTxCyw0</t>
  </si>
  <si>
    <t>WxNgfTxCyw0</t>
  </si>
  <si>
    <t>In this 10-minute video, Aseem Singhal walks you through the concept of regression analysis using Excel, breaking down its fundamentals in an easy-to-understand way. 
He then demonstrates how to apply regression analysis in trading to identify trends, reversals, and make informed decisions. 
Whether you're new to data analysis or a seasoned trader, this video offers valuable insights into leveraging statistical tools for smarter trading strategies.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13/05/25
If you have any concerns with respect to Groww, please feel free to write to us at support@groww.in or you can call us at +91 9108800000.</t>
  </si>
  <si>
    <t>https://i.ytimg.com/vi/WxNgfTxCyw0/hqdefault.jpg</t>
  </si>
  <si>
    <t>From Software Engineer to Trading Pro: Ashwin Raghavan’s Inspiring Journey | Trading Ki Baat</t>
  </si>
  <si>
    <t>https://www.youtube.com/watch?v=MWSll2gn764</t>
  </si>
  <si>
    <t>MWSll2gn764</t>
  </si>
  <si>
    <t>Episode 16 of Trading Ki Baat, we’re joined by Ashwin Raghavan, a former software developer at PhonePe, who took a bold leap of faith to follow his passion for trading.
In this episode, Ashwin opens up about his journey — from facing significant losses and watching his life savings dwindle, to ultimately turning things around and growing his trading account multifold.
He shares valuable, real-world insights on how he selects trades, finds the right entry points, and exits with precision. This episode is packed with practical wisdom that any trader can learn from. Don’t miss it!
0:01 – Highlights
0:30 – Introduction
1:53 – Ashwin's Journey
8:18 – Ashwin's Trading Style
16:10 – How does Ashwin analyze charts
30:00 – Entries, Exits and Stoploss
42:00 – Advice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Date: 10/05/25
If you have any concerns with respect to Groww, please feel free to write to us at support@groww.in or you can call us at +91 9108800000.</t>
  </si>
  <si>
    <t>https://i.ytimg.com/vi/MWSll2gn764/hqdefault.jpg</t>
  </si>
  <si>
    <t>Intraday Trading 101 | Unlocking the Basics for Beginners</t>
  </si>
  <si>
    <t>https://www.youtube.com/watch?v=1D49iAS_pgk</t>
  </si>
  <si>
    <t>1D49iAS_pgk</t>
  </si>
  <si>
    <t>In this video, Aseem Singhal covers the fundamentals of the markets, explaining the concept of market bias, how the markets operate, and what intraday trading really entails.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8th May 2025
If you have any concerns with respect to Groww, please feel free to write to us at support@groww.in or you can call us at +91 9108800000.</t>
  </si>
  <si>
    <t>https://i.ytimg.com/vi/1D49iAS_pgk/hqdefault.jpg</t>
  </si>
  <si>
    <t>The #1 THING You Need to Know About NSE's Algorithmic Trading Circular</t>
  </si>
  <si>
    <t>https://www.youtube.com/watch?v=wLqX6oX06QU</t>
  </si>
  <si>
    <t>wLqX6oX06QU</t>
  </si>
  <si>
    <t>In this video, we are joined by two industry experts: Tanmay Kurtkoti, CEO &amp; Founder of QCAlpha and Quants Capital, and Prathamesh Godbole, an algorithmic trader, as they break down the recent NSE circular on algorithmic trading. Hosted by Arjun Tandon, Partner at Kailasa Capital and a full-time trader, we dive into the details and nuances of the circular to better understand its implications.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</si>
  <si>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https://i.ytimg.com/vi/wLqX6oX06QU/hqdefault.jpg</t>
  </si>
  <si>
    <t>How to trade Commodities? Crude oil, Gold, Natural gas &amp; more</t>
  </si>
  <si>
    <t>https://www.youtube.com/watch?v=W5dpld02JaQ</t>
  </si>
  <si>
    <t>W5dpld02JaQ</t>
  </si>
  <si>
    <t>Link to join the Commodity Trading Waitlist: https://trygroww.typeform.com/to/MMXVCDAR
on Groww
How to trade commodities? Crude oil, Gold, Natural gas &amp; more
In this video, we explore commodity trading, focusing on assets like crude oil, gold, and natural gas. Learn the benefits of commodity trading, including the negative correlation between certain commodities and equity markets, trading during additional market hours and hedging.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16/04/2025
If you have any concerns with respect to Groww, please feel free to write to us at support@groww.in or you can call us at +91 9108800000.</t>
  </si>
  <si>
    <t>https://i.ytimg.com/vi/W5dpld02JaQ/hqdefault.jpg</t>
  </si>
  <si>
    <t>Everything You Need to Know About Fibonacci Retracement – Fully Explained</t>
  </si>
  <si>
    <t>https://www.youtube.com/watch?v=ayyD4Gn8dO0</t>
  </si>
  <si>
    <t>ayyD4Gn8dO0</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</si>
  <si>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6th April 2025
If you have any concerns with respect to Groww, please feel free to write to us at support@groww.in or you can call us at +91 9108800000.</t>
  </si>
  <si>
    <t>https://i.ytimg.com/vi/ayyD4Gn8dO0/hqdefault.jpg</t>
  </si>
  <si>
    <t>How This Trader Wins with Momentum Bursts | Trading ki Baat</t>
  </si>
  <si>
    <t>https://www.youtube.com/watch?v=lGhHKmHOP1A</t>
  </si>
  <si>
    <t>lGhHKmHOP1A</t>
  </si>
  <si>
    <t>In Episode 15 of Trading Ki Baat, we have Sumit Behal, a seasoned stock trader who specializes in swing trading and momentum bursts. 
In this dynamic conversation, Sumit shares his approach to stacking the odds in his favor, understanding probabilities, and adapting to different market conditions. 
He breaks down the rationale behind his trades, offering deep insights into his strategy. If you're looking to refine your trading skills and gain a fresh perspective, this episode is packed with valuable lessons. 
Watch now and take your trading game to the next level!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</si>
  <si>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https://i.ytimg.com/vi/lGhHKmHOP1A/hqdefault.jpg</t>
  </si>
  <si>
    <t>Stock Options Made EASY</t>
  </si>
  <si>
    <t>https://www.youtube.com/watch?v=bqTTLp6tl70</t>
  </si>
  <si>
    <t>bqTTLp6tl70</t>
  </si>
  <si>
    <t>Welcome to another exciting video on stock options trading! In this video, we break down a simple and effective strategy for stock options trading — Stock Options Made EASY. If you've been struggling to predict market direction, this strategy will help you understand how to approach trading when the market moves in uncertain directions.
We discuss the Long Straddle strategy, where you buy both a call and put option at the same strike price and expiration. This strategy ensures limited risk and can be used in various market conditions. Watch till the end to learn how and when to implement this strategy, along with some important points to consider for its effective use.
This strategy is often applied before major market events or earnings announcements, where the direction of the stock is uncertain. Additionally, mid-cap stocks are discussed in relation to their volatility, which may present different opportunities in trading.
Please note that this video is for educational purposes only, and there is no guarantee of profits. Always conduct your own research and consider all risks before applying any trading strategies.
Let us know your thoughts in the comments and stay tuned for more trading insights in future videos.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24 March 2025
If you have any concerns with respect to Groww, please feel free to write to us at support@groww.in or you can call us at +91 9108800000.</t>
  </si>
  <si>
    <t>https://i.ytimg.com/vi/bqTTLp6tl70/hqdefault.jpg</t>
  </si>
  <si>
    <t>How to Grow a Small Trading Account – Breakfast with Traders Panel @Elearnmarkets</t>
  </si>
  <si>
    <t>https://www.youtube.com/watch?v=o6Oc80s0-yc</t>
  </si>
  <si>
    <t>o6Oc80s0-yc</t>
  </si>
  <si>
    <t>How to Grow a Small Trading Account – Breakfast with Traders Panel  @Elearnmarkets ​
Join us for a special edition of 'Breakfast with Traders' recorded live at Elearnmarkets' Face2Face Stock Market Conclave 2025 in Goa. In this engaging panel discussion, seasoned traders share their journeys and strategies:
Manas Arora and Ashwin Porwal: Equity traders discussing methods to scale small accounts and optimal timing for adding capital.
Vibhore Gupta: An options trader sharing insights on discretionary trading vs. algorithmic approaches.
Vivek Bajaj: A momentum investor providing perspectives on market trends.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</si>
  <si>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https://i.ytimg.com/vi/o6Oc80s0-yc/hqdefault.jpg</t>
  </si>
  <si>
    <t>This Trader Won the World Trading Championship Twice!</t>
  </si>
  <si>
    <t>https://www.youtube.com/watch?v=gP6ZGj90hgo</t>
  </si>
  <si>
    <t>gP6ZGj90hgo</t>
  </si>
  <si>
    <t>In this video, we explore the trading strategies of Patrick Nill, a two-time World Trading Champion known for his consistent success in competitive trading. One of his key strategies, the Volume Profile, is discussed in detail, highlighting how it helps identify significant price levels based on trading activity. Watch the video to learn more about Patrick Nill’s winning techniques and how you can apply them to your own trading journey.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18 March 2025
If you have any concerns with respect to Groww, please feel free to write to us at support@groww.in or you can call us at +91 9108800000.</t>
  </si>
  <si>
    <t>https://i.ytimg.com/vi/gP6ZGj90hgo/hqdefault.jpg</t>
  </si>
  <si>
    <t>Chetan Panchamia Shares His GOLDEN Trap Setup For Trading Success | Trading Ki Baat</t>
  </si>
  <si>
    <t>https://www.youtube.com/watch?v=b8jDVM1CQD8</t>
  </si>
  <si>
    <t>b8jDVM1CQD8</t>
  </si>
  <si>
    <t>In Episode 14 of Trading ki Baat, our guest Chetan Panchamia breaks down the Golden Trap setup—an effective options buying strategy. 
He shares insights on how to deploy it, manage risks, set stop-losses, and define targets. 
Beyond the strategy, he also discusses market trends and offers valuable advice for young traders. Don’t miss this deep dive into smart trading tactics!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</si>
  <si>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https://i.ytimg.com/vi/b8jDVM1CQD8/hqdefault.jpg</t>
  </si>
  <si>
    <t>What HAPPENS When You Master Bollinger Bands Trading?📈</t>
  </si>
  <si>
    <t>https://www.youtube.com/watch?v=yulWi_0y5A4</t>
  </si>
  <si>
    <t>yulWi_0y5A4</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</si>
  <si>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10 March 2025
If you have any concerns with respect to Groww, please feel free to write to us at support@groww.in or you can call us at +91 9108800000.</t>
  </si>
  <si>
    <t>https://i.ytimg.com/vi/yulWi_0y5A4/hqdefault.jpg</t>
  </si>
  <si>
    <t>Smart MONEY Concepts to Know in 2025</t>
  </si>
  <si>
    <t>https://www.youtube.com/watch?v=rjl5aF6kESM</t>
  </si>
  <si>
    <t>rjl5aF6kESM</t>
  </si>
  <si>
    <t>Learn about the smart money concepts related to trading that you need to know in 2025. This video will break down key trading concepts to help you make informed financial decisions.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06th March 2025
If you have any concerns with respect to Groww, please feel free to write to us at support@groww.in or you can call us at +91 9108800000.</t>
  </si>
  <si>
    <t>https://i.ytimg.com/vi/rjl5aF6kESM/hqdefault.jpg</t>
  </si>
  <si>
    <t>The Surprising Truth About Order Blocks Strategy📈</t>
  </si>
  <si>
    <t>https://www.youtube.com/watch?v=mRQBZVPK660</t>
  </si>
  <si>
    <t>mRQBZVPK660</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</si>
  <si>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04th March 2025
If you have any concerns with respect to Groww, please feel free to write to us at support@groww.in or you can call us at +91 9108800000.</t>
  </si>
  <si>
    <t>https://i.ytimg.com/vi/mRQBZVPK660/hqdefault.jpg</t>
  </si>
  <si>
    <t>How Vivek Bajaj Built a Trading Empire | Breakfast with Traders</t>
  </si>
  <si>
    <t>https://www.youtube.com/watch?v=GHVc0pRgjXQ</t>
  </si>
  <si>
    <t>GHVc0pRgjXQ</t>
  </si>
  <si>
    <t>In Episode 10 of Breakfast with Traders, host Praful Kulkarni engages in a compelling conversation with Vivek Bajaj, a seasoned trader and co-founder of StockEdge and Elearnmarkets. 
With over 20 years of experience in equities, options, currencies, and commodities, Vivek shares his insights on regulatory changes, his personal trading journey, momentum investing strategies, and his mission to empower individuals through financial education. 
Discover how he leverages data analytics and technology to simplify market complexities for retail investors.
Twitter Handle - https://twitter.com/TradeWithGroww_
Instagram Handle - https://www.instagram.com/tradingwithgroww/
Music: Monta Re by Amit Trivedi, Amitabh Bhattacharya, and Swanand Kirkire
Location courtesy - OG by the lake, Kolkata
0:00 – Introduction
1:56 – Vivek Bajaj's Career Journey
10:23 – Approach Towards Achieving Objectives
14:09 – How Did He Start Trading?
18:39 – Vivek Bajaj's Learning Process in Trading
22:12 – His Response to Society's Perception
26:18 – Future Plans for Elearnmarkets
26:42 – A Trade That Boosted His Confidence
29:27 – How He Prepared Himself for Trading
31:49 – His Favorite Trading Style
32:31 – Understanding the Contango Trade
38:47 – The One Skill That Transforms a Trader into a Professional
40:13 – How He Trains New Traders
44:13 – Does Sharing Strategies Publicly Make Them Ineffective?
48:12 – Performance of His Proprietary Desk and Algo Trading
51:27 – Market Manipulation and Regulatory Impact
1:03:01 – Vivek Bajaj’s Vision for the Future
1:07:57 – What Does Money Mean to Him?
1:11:12 – How Current Regulations Affect Financial Influencers
1:14:04 – Advice for Aspiring Traders
1:19:26 – Conclusion
About Groww
Groww is India’s Best Investment App and the Largest Stock Broker.
Find us here:
Android app: https://app.groww.in/v3cO/f9o4prne
iOS app - https://app.groww.in/v3cO/tu0yrc3e
Website - https://groww.in/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If you have any concerns with respect to Groww, please feel free to write to us at support@groww.in or you can call us at +91 9108800000.</t>
  </si>
  <si>
    <t>https://i.ytimg.com/vi/GHVc0pRgjXQ/hqdefault.jpg</t>
  </si>
  <si>
    <t>The BEST Way to Avoid Stop Loss Hunting📈</t>
  </si>
  <si>
    <t>https://www.youtube.com/watch?v=5RKpukhayDM</t>
  </si>
  <si>
    <t>5RKpukhayDM</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</si>
  <si>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26nFeb 2025
If you have any concerns with respect to Groww, please feel free to write to us at support@groww.in or you can call us at +91 9108800000.</t>
  </si>
  <si>
    <t>https://i.ytimg.com/vi/5RKpukhayDM/hqdefault.jpg</t>
  </si>
  <si>
    <t>The BEST Way To Understand Supply and Demand📈</t>
  </si>
  <si>
    <t>https://www.youtube.com/watch?v=O9bUjAaLygY</t>
  </si>
  <si>
    <t>O9bUjAaLygY</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</si>
  <si>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24 Feb 2025
If you have any concerns with respect to Groww, please feel free to write to us at support@groww.in or you can call us at +91 9108800000.</t>
  </si>
  <si>
    <t>https://i.ytimg.com/vi/O9bUjAaLygY/hqdefault.jpg</t>
  </si>
  <si>
    <t>What Happens When You OVERCOME These Doubts?  @POWEROFSTOCKSBySubasish |  Trading Right Pt.3</t>
  </si>
  <si>
    <t>https://www.youtube.com/watch?v=GP0zpFZk7Sw</t>
  </si>
  <si>
    <t>GP0zpFZk7Sw</t>
  </si>
  <si>
    <t>What Happens When You OVERCOME These Doubts?📈 Trading Right Pt.3
Subasish Pani is addressing traders' doubts and sharing valuable insights! Don't miss this power-packed session!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</si>
  <si>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https://i.ytimg.com/vi/GP0zpFZk7Sw/hqdefault.jpg</t>
  </si>
  <si>
    <t>The Surprising Truth About Trading Plans Nobody Tells You📈</t>
  </si>
  <si>
    <t>https://www.youtube.com/watch?v=kisztCOoq7g</t>
  </si>
  <si>
    <t>kisztCOoq7g</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</si>
  <si>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20th Feb 2025
If you have any concerns with respect to Groww, please feel free to write to us at support@groww.in or you can call us at +91 9108800000.</t>
  </si>
  <si>
    <t>https://i.ytimg.com/vi/kisztCOoq7g/hqdefault.jpg</t>
  </si>
  <si>
    <t>Want To MASTER Fair Value Gaps? Watch This Now</t>
  </si>
  <si>
    <t>https://www.youtube.com/watch?v=q3iOD1yem04</t>
  </si>
  <si>
    <t>q3iOD1yem04</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</si>
  <si>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17 Feb 2025
If you have any concerns with respect to Groww, please feel free to write to us at support@groww.in or you can call us at +91 9108800000.</t>
  </si>
  <si>
    <t>https://i.ytimg.com/vi/q3iOD1yem04/hqdefault.jpg</t>
  </si>
  <si>
    <t>Maximise Your Returns with SMART Investing Techniques📈</t>
  </si>
  <si>
    <t>https://www.youtube.com/watch?v=_JGSV_hcOVo</t>
  </si>
  <si>
    <t>_JGSV_hcOVo</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</si>
  <si>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14th Feb 2025
If you have any concerns with respect to Groww, please feel free to write to us at support@groww.in or you can call us at +91 9108800000.</t>
  </si>
  <si>
    <t>https://i.ytimg.com/vi/_JGSV_hcOVo/hqdefault.jpg</t>
  </si>
  <si>
    <t>The Surprising Truth About STOP And REVERSE Trading Nobody Tells You📈</t>
  </si>
  <si>
    <t>https://www.youtube.com/watch?v=iOMGQnFxBQo</t>
  </si>
  <si>
    <t>iOMGQnFxBQo</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</si>
  <si>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12 Feb 2025
If you have any concerns with respect to Groww, please feel free to write to us at support@groww.in or you can call us at +91 9108800000.</t>
  </si>
  <si>
    <t>https://i.ytimg.com/vi/iOMGQnFxBQo/hqdefault.jpg</t>
  </si>
  <si>
    <t>The Best Ways to Overcome Trading Hesitation</t>
  </si>
  <si>
    <t>https://www.youtube.com/watch?v=A0BGtayaX9Y</t>
  </si>
  <si>
    <t>A0BGtayaX9Y</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</si>
  <si>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10th Feb 2025
If you have any concerns with respect to Groww, please feel free to write to us at support@groww.in or you can call us at +91 9108800000.</t>
  </si>
  <si>
    <t>https://i.ytimg.com/vi/A0BGtayaX9Y/hqdefault.jpg</t>
  </si>
  <si>
    <t>How a Former Big 4 CA Became a Profitable Systematic Trader? 📈 | BwT ft. @CAArjunTandon</t>
  </si>
  <si>
    <t>https://www.youtube.com/watch?v=u7Ek1KYAAbE</t>
  </si>
  <si>
    <t>u7Ek1KYAAbE</t>
  </si>
  <si>
    <t>Arjun is a systematic trader who relies on well-researched, backtested strategies for consistent performance in the markets. He focuses on disciplined execution and minimizing emotional biases. Arjun also highlights the importance of mindset and fitness, believing that both are essential for maintaining focus, discipline, and long-term trading success.
Twitter Handle - https://twitter.com/TradeWithGroww_
Instagram Handle - https://www.instagram.com/tradingwithgroww/
00:00​ - Introduction
01:02​ - Arjun's trading journey
09:47​ - Different mindsets among successful traders
13:09​ - Importance of maintaining fitness for trading
17:06​ - Company culture at Arjun’s firm and their trading approach
25:51​ - Arjun’s trading experiences
35:10​ - Backtesting strategies and adapting during regime shifts
42:25​ - Updates and new additions to Arjun’s system
46:49​ - Psychological management during drawdowns and profit periods
52:36​ - Returns and management
56:00​ - Pros and cons of discretionary trading
58:11​ - Single stock option trading
1:05:30​ - Arjun’s best trade
1:06:22​ - Trade logs and their benefits
1:10:08​ - Arjun’s advice to fellow traders
1:19:31​ - Conclusion
For educational videos on trading, please subscribe to the Trading with Groww channel: https://openinapp.co/youtube/trading-with-groww
About Groww
Groww is India’s Best Investment App and the Largest Stock Broker.
Find us here:
Android app: https://app.groww.in/v3cO/f9o4prne
iOS app - https://app.groww.in/v3cO/tu0yrc3e
Website - https://groww.in/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</si>
  <si>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https://i.ytimg.com/vi/u7Ek1KYAAbE/hqdefault.jpg</t>
  </si>
  <si>
    <t>Want to MASTER Market Reversals? Watch this now</t>
  </si>
  <si>
    <t>https://www.youtube.com/watch?v=YWtnnGVxLOA</t>
  </si>
  <si>
    <t>YWtnnGVxLOA</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</si>
  <si>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21JAN 2025
If you have any concerns with respect to Groww, please feel free to write to us at support@groww.in or you can call us at +91 9108800000.</t>
  </si>
  <si>
    <t>https://i.ytimg.com/vi/YWtnnGVxLOA/hqdefault.jpg</t>
  </si>
  <si>
    <t>Scalping: The Art of Fast Entry and Fast Exit</t>
  </si>
  <si>
    <t>https://www.youtube.com/watch?v=ip_vWNyLj5w</t>
  </si>
  <si>
    <t>ip_vWNyLj5w</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</si>
  <si>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03/ Feb/2025
If you have any concerns with respect to Groww, please feel free to write to us at support@groww.in or you can call us at +91 9108800000.</t>
  </si>
  <si>
    <t>https://i.ytimg.com/vi/ip_vWNyLj5w/hqdefault.jpg</t>
  </si>
  <si>
    <t>Ratio Spreads: Smart Directional Trading with Built-in Protection</t>
  </si>
  <si>
    <t>https://www.youtube.com/watch?v=P_CcIGUxyK8</t>
  </si>
  <si>
    <t>P_CcIGUxyK8</t>
  </si>
  <si>
    <t>Looking for a strategic way to trade options with limited risk and enhanced rewards? In this video, we break down Ratio Spreads, a powerful options trading strategy that allows you to take a directional position while benefiting from built-in protection.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 February 2025
If you have any concerns with respect to Groww, please feel free to write to us at support@groww.in or you can call us at +91 9108800000.</t>
  </si>
  <si>
    <t>https://i.ytimg.com/vi/P_CcIGUxyK8/hqdefault.jpg</t>
  </si>
  <si>
    <t>What's the Best Budget Trading Strategy for You</t>
  </si>
  <si>
    <t>https://www.youtube.com/watch?v=2xk96FcuwtU</t>
  </si>
  <si>
    <t>2xk96FcuwtU</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</si>
  <si>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27 January 2025
If you have any concerns with respect to Groww, please feel free to write to us at support@groww.in or you can call us at +91 9108800000.</t>
  </si>
  <si>
    <t>https://i.ytimg.com/vi/2xk96FcuwtU/hqdefault.jpg</t>
  </si>
  <si>
    <t>Mastering Option Trading with Siva's INSIGHTS | Trading ki Baat ft. @OptionsScalping</t>
  </si>
  <si>
    <t>https://www.youtube.com/watch?v=pNOPlcJXfS0</t>
  </si>
  <si>
    <t>pNOPlcJXfS0</t>
  </si>
  <si>
    <t>Master the art of scalping with Siva's expert option trading insights! 🚀 In this video, Siva breaks down proven strategies, tips, and techniques to help you navigate the fast-paced world of scalping in the options market. Whether you're a beginner or an experienced trader, this guide will level up your trading game. Watch now and trade smarter! #OptionTrading #Scalping
Handle - https://twitter.com/TradeWithGroww_
Instagram Handle - https://www.instagram.com/tradingwithgroww/
0:00 - Highlights
1:21 - Overview
1:35 - Siva’s trading journey: how it began
10:12 - Discovering scalping as Siva's trading strength
19:21 - Siva's approach to scalping
36:08 - Historical chart insights
43:06 - Strategies for risk and trade management
46:58 - Techniques for pyramiding and averaging
51:01 - Conclusion
For educational videos on trading, please subscribe to the Trading with Groww channel: https://openinapp.co/youtube/trading-with-groww
About Groww
Groww is India’s Best Investment App and the Largest Stock Broker.
Find us here:
Android app: https://app.groww.in/v3cO/f9o4prne
iOS app - https://app.groww.in/v3cO/tu0yrc3e
Website - https://groww.in/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</si>
  <si>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https://i.ytimg.com/vi/pNOPlcJXfS0/hqdefault.jpg</t>
  </si>
  <si>
    <t>How to Trade During Unpredictable Black Swan Events?</t>
  </si>
  <si>
    <t>https://www.youtube.com/watch?v=BvZDMHhcmcY</t>
  </si>
  <si>
    <t>BvZDMHhcmcY</t>
  </si>
  <si>
    <t>Are you prepared for the next market crash? Learn how to navigate the financial markets during unpredictable Black Swan events in this video. We cover key strategies for risk management, diversification, and identifying opportunities even in times of crisis. #blackswanevent #trading #investing #stockmarket #finance #riskmanagement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23 January 2025
If you have any concerns with respect to Groww, please feel free to write to us at support@groww.in or you can call us at +91 9108800000.</t>
  </si>
  <si>
    <t>https://i.ytimg.com/vi/BvZDMHhcmcY/hqdefault.jpg</t>
  </si>
  <si>
    <t>Why Multi-Chart Layouts Are Game-Changers for Option Buyers?📈</t>
  </si>
  <si>
    <t>https://www.youtube.com/watch?v=Ogzc20m5rhU</t>
  </si>
  <si>
    <t>Ogzc20m5rhU</t>
  </si>
  <si>
    <t>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21 Jan 2025
If you have any concerns with respect to Groww, please feel free to write to us at support@groww.in or you can call us at +91 9108800000.</t>
  </si>
  <si>
    <t>https://i.ytimg.com/vi/Ogzc20m5rhU/hqdefault.jpg</t>
  </si>
  <si>
    <t>Level Up Your Trading Game with @POWEROFSTOCKSBySubasish  | Trading Right Part 2</t>
  </si>
  <si>
    <t>https://www.youtube.com/watch?v=Euefcm_2ZOE</t>
  </si>
  <si>
    <t>Euefcm_2ZOE</t>
  </si>
  <si>
    <t>Master the art of trading with Subasish Pani in Trading Right Part 2! 🚀
In this video, we dive deeper into the strategies, mindset, and tools you need to take your trading game to the next level. Whether you're a beginner or looking to refine your skills, this session is packed with actionable insights and expert advice.
0:05 - Introduction
1:08 - Subasish Pani
1:25 - People's expectations from the market influenced by finfluencers
8:24 - Trade management insights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</si>
  <si>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https://i.ytimg.com/vi/Euefcm_2ZOE/hqdefault.jpg</t>
  </si>
  <si>
    <t>You Won't Believe What Happens When You Master Reversal Chart Patterns!</t>
  </si>
  <si>
    <t>https://www.youtube.com/watch?v=kIacke9mYbY</t>
  </si>
  <si>
    <t>kIacke9mYbY</t>
  </si>
  <si>
    <t>Master the art of trading reversal chart patterns and take your trading game to the next level! In this video, we dive deep into popular reversal patterns like Head and Shoulders, Double Tops &amp; Bottoms, and more. Learn how to identify these patterns, spot potential trend changes, and execute your trades effectively.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16 January 2025
If you have any concerns with respect to Groww, please feel free to write to us at support@groww.in or you can call us at +91 9108800000.</t>
  </si>
  <si>
    <t>https://i.ytimg.com/vi/kIacke9mYbY/hqdefault.jpg</t>
  </si>
  <si>
    <t>This 3 Leg Option Buying Experiment Changed Everything!</t>
  </si>
  <si>
    <t>https://www.youtube.com/watch?v=rMlPcKzPZZY</t>
  </si>
  <si>
    <t>rMlPcKzPZZY</t>
  </si>
  <si>
    <t>Are you looking for a consistent way to make profits in the options market? 🎯 In this video, we dive deep into the 3-leg option buying strategy, a unique approach that could turn your trades into a profitable venture.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14 January 2025
If you have any concerns with respect to Groww, please feel free to write to us at support@groww.in or you can call us at +91 9108800000.</t>
  </si>
  <si>
    <t>https://i.ytimg.com/vi/rMlPcKzPZZY/hqdefault.jpg</t>
  </si>
  <si>
    <t>Boost Your Trading Journey in 2025 with These Proven Techniques | ft. V Ranjha</t>
  </si>
  <si>
    <t>https://www.youtube.com/watch?v=R_D3RHyHhpM</t>
  </si>
  <si>
    <t>R_D3RHyHhpM</t>
  </si>
  <si>
    <t>Boost Your Trading Journey in 2025 with These Proven Techniques | ft. V Ranjha
Learn how to boost your trading journey with these backtested strategies in this informative video featuring V Ranjha. Watch now to improve your trading skills and achieve success in the market!
Twitter Handle - https://twitter.com/TradeWithGroww_
Instagram Handle - https://www.instagram.com/tradingwithgroww/
0:00 - Key Highlights
0:39 - Introduction
1:38 - Starting the Trading Journey
3:57 - Why Do Most People Struggle to Make Money in the Market?
6:52 - Understanding Systematic Trading
12:19 - Option Buying Strategies
16:46 - Backtesting Results for Option Buying
21:42 - Option Selling Strategies
26:03 - Backtesting Results for Option Selling
30:39 - Risk Management in Systematic Trading
33:12 - Final Summary
About Groww
Groww is India’s Best Investment App and the Largest Stock Broker.
Find us here:
Android app: https://app.groww.in/v3cO/f9o4prne
iOS app - https://app.groww.in/v3cO/tu0yrc3e
Website - https://groww.in/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</si>
  <si>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https://i.ytimg.com/vi/R_D3RHyHhpM/hqdefault.jpg</t>
  </si>
  <si>
    <t>How to Use Delivery Percentage for Better Trading Decisions?</t>
  </si>
  <si>
    <t>https://www.youtube.com/watch?v=RyI5f-EBc4c</t>
  </si>
  <si>
    <t>RyI5f-EBc4c</t>
  </si>
  <si>
    <t>How to Use Delivery Percentage for Better Trading Decisions?
Learn how to use delivery percentage for better trading decisions in the stock market with Groww. Watch this video to understand how delivery percentage can impact your investment strategy and improve your trading outcomes.
About Groww
Groww is India’s Best Investment App and the Largest Stock Broker.
Find us here:
Android app: https://app.groww.in/v3cO/f9o4prne
iOS app - https://app.groww.in/v3cO/tu0yrc3e
Website - https://groww.in/
X Handle - https://x.com/TradeWithGroww_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8 January 2025
If you have any concerns with respect to Groww, please feel free to write to us at support@groww.in or you can call us at +91 9108800000.</t>
  </si>
  <si>
    <t>https://i.ytimg.com/vi/RyI5f-EBc4c/hqdefault.jpg</t>
  </si>
  <si>
    <t>Why Most Traders Fail: The Right Approach to Trading Success ft. @POWEROFSTOCKSBySubasish</t>
  </si>
  <si>
    <t>https://www.youtube.com/watch?v=qjAhOvkzFlQ</t>
  </si>
  <si>
    <t>qjAhOvkzFlQ</t>
  </si>
  <si>
    <t>Why Most Traders Fail: The Right Approach to Trading Success ft.  @POWEROFSTOCKSBySubasish 
Learn the right approach to trading success in this video ft. Subasish Pani. Discover why most traders fail and how to avoid common pitfalls in the trading world.
0:00 - Introduction
1:07 - Subasish Pani
4:00 - Why do people start trading?
8:03 - Risk Appetite
10:32 - Trading Plan
13:08 - How do big players approach the market?
14:26 - How do beginners approach the 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If you have any concerns with respect to Groww, please feel free to write to us at support@groww.in or you can call us at +91 9108800000.</t>
  </si>
  <si>
    <t>https://i.ytimg.com/vi/qjAhOvkzFlQ/hqdefault.jpg</t>
  </si>
  <si>
    <t>Master Elliott Waves with Fibonacci in Just 8 minutes 📈</t>
  </si>
  <si>
    <t>https://www.youtube.com/watch?v=qUO-KMPShNw</t>
  </si>
  <si>
    <t>qUO-KMPShNw</t>
  </si>
  <si>
    <t>Master Elliott Waves with Fibonacci in Just 8 minutes 📈
Unlock the secrets of stock trading with our guide on Elliott Waves and Fibonacci tools! Discover how to identify price movements, find optimal entry points, and use retracement levels for maximum profits. Join us to learn effective strategies for managing risks and enhancing your trading performance. Subscribe for expert insights and tips on mastering the 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3rd January 2025
If you have any concerns with respect to Groww, please feel free to write to us at support@groww.in or you can call us at +91 9108800000.</t>
  </si>
  <si>
    <t>https://i.ytimg.com/vi/qUO-KMPShNw/hqdefault.jpg</t>
  </si>
  <si>
    <t>Covered Call: The Rental Income Strategy📈</t>
  </si>
  <si>
    <t>https://www.youtube.com/watch?v=V_1PBDemtME</t>
  </si>
  <si>
    <t>V_1PBDemtME</t>
  </si>
  <si>
    <t>Covered Call: The Rental Income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31 December 2024
If you have any concerns with respect to Groww, please feel free to write to us at support@groww.in or you can call us at +91 9108800000.</t>
  </si>
  <si>
    <t>https://i.ytimg.com/vi/V_1PBDemtME/hqdefault.jpg</t>
  </si>
  <si>
    <t>What's the Secret to Riding Big Trends with Pro Option Buyers?</t>
  </si>
  <si>
    <t>https://www.youtube.com/watch?v=2ZBZDGDDt4I</t>
  </si>
  <si>
    <t>2ZBZDGDDt4I</t>
  </si>
  <si>
    <t>What's the Secret to Riding Big Trends with Pro Option Buyers? | ft. Chirag Suchak | Trading ki Baat
For episode 11 of Trading ki baat, we have Chirag Suchak, a skilled options trader, as he shares his inspiring journey in trading. Learn about his strategies, insights, and experiences as an options buyer, and discover valuable tips to elevate your trading game!
0.00 - Highlights
1:39- Introduction
1:57- How chirag started his trading journey?
3:46- Chirag's approach to option buying
7:21- Strategy
21:41- Approach to Stoploss
22:41- Style of trading (always in the trade)
27:09- Adjustments of the reference levels (Stop and reverse)
27:56- Psychology and mindset
30:46- Probability and accuracy of his trades
34:04 Selection of strikes
35:47- Position sizing and risk management
39:15- Systematic approach to grow the trading account
44:13- Outro
About Groww
Groww is India’s Best Investment App and the Largest Stock Broker.
Find us here:
Android app: https://app.groww.in/v3cO/f9o4prne
iOS app - https://app.groww.in/v3cO/tu0yrc3e
Website - https://groww.in/
#tradingkibaat #ep11 #TKB11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</si>
  <si>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https://i.ytimg.com/vi/2ZBZDGDDt4I/hqdefault.jpg</t>
  </si>
  <si>
    <t>Understanding Trend Analysis: A Comprehensive Guide</t>
  </si>
  <si>
    <t>https://www.youtube.com/watch?v=N1LNvbTEbsQ</t>
  </si>
  <si>
    <t>N1LNvbTEbsQ</t>
  </si>
  <si>
    <t>Understanding Trend Analysis: A Comprehensive Guide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Vrinda Bhadula
Date: 24 December 2024
If you have any concerns with respect to Groww, please feel free to write to us at support@groww.in or you can call us at +91 9108800000.</t>
  </si>
  <si>
    <t>https://i.ytimg.com/vi/N1LNvbTEbsQ/hqdefault.jpg</t>
  </si>
  <si>
    <t>How an IT Professional Became One of India's Most Successful Option Buyer? | BWT Ep 8!📈</t>
  </si>
  <si>
    <t>https://www.youtube.com/watch?v=BXI_odxl-hE</t>
  </si>
  <si>
    <t>BXI_odxl-hE</t>
  </si>
  <si>
    <t>How an IT Professional Became One of India's Most Successful Option Buyer? | BWT Ep 8!📈
In this episode of BWT, we unveil the inspiring transformation of an IT professional into one of India’s most successful options traders. 📉➡️📈
Our guest takes us through their remarkable journey, sharing pivotal moments, proven strategies, and invaluable insights that shaped their success in the dynamic world of options trading.
Whether you're a trading enthusiast, eager to sharpen your skills, or simply enjoy a great success story, this episode promises to captivate and educate. Don't miss out—tune in now!
#BreakfastWithtTraders #ep8 
0:00 Highlights
1:24 Introduction
2:38 When and how did Shijumon start trading?
7:54 What type of trader is Shijumon?
9:23 How does he analyze charts?
12:10 How did previous years' charts help him?
15:10 How should one approach trading in the beginning?
16:18 How does Shijumon manage trades psychologically?
17:07 Learning period
19:02 Strategies for managing risks and maximizing rewards
24:54 Taking breaks
25:59 Shijumon's strategy for option buying
30:29 How should one approach trading losses and gains?
34:08 Shijumon's approach to option buying and selling
44:00 Biggest drawdown period
45:12 Trading during election periods
46:49 Expiry day trading
48:36 Expectations for the year 2025
49:07 Best trade
54:13 Worst trade
1:03:01 Outro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</si>
  <si>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https://i.ytimg.com/vi/BXI_odxl-hE/hqdefault.jpg</t>
  </si>
  <si>
    <t>Build your own trading strategy with 10 simple steps!</t>
  </si>
  <si>
    <t>https://www.youtube.com/watch?v=dNeCiS0T-1U</t>
  </si>
  <si>
    <t>dNeCiS0T-1U</t>
  </si>
  <si>
    <t>Build your own trading strategy with 10 simple steps! #trading #stockmarket 
In this video, discover how to build a trading strategy tailored to your goals and style! This step-by-step guide covers everything from market analysis to risk management, giving you the tools to trade with confidence.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07 December 2024
If you have any concerns with respect to Groww, please feel free to write to us at support@groww.in or you can call us at +91 9108800000.</t>
  </si>
  <si>
    <t>https://i.ytimg.com/vi/dNeCiS0T-1U/hqdefault.jpg</t>
  </si>
  <si>
    <t>Ride BIG Trends with EASY Momentum Trading Strategy!</t>
  </si>
  <si>
    <t>https://www.youtube.com/watch?v=jRw-YFeiiRA</t>
  </si>
  <si>
    <t>jRw-YFeiiRA</t>
  </si>
  <si>
    <t>Ride BIG Trends with EASY Momentum Trading Strategy! #trading #stockmarket #tradingstrategy 
Learn how to ride big trends with an easy momentum trading strategy in this video! Perfect for beginner traders looking to maximize profits.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12th December 2024
If you have any concerns with respect to Groww, please feel free to write to us at support@groww.in or you can call us at +91 9108800000.</t>
  </si>
  <si>
    <t>https://i.ytimg.com/vi/jRw-YFeiiRA/hqdefault.jpg</t>
  </si>
  <si>
    <t>Sector Rotation TRADING Made Easy for Beginners</t>
  </si>
  <si>
    <t>https://www.youtube.com/watch?v=msg3FMVw_-s</t>
  </si>
  <si>
    <t>msg3FMVw_-s</t>
  </si>
  <si>
    <t>Sector Rotation TRADING Made Easy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9th Dec 2024
If you have any concerns with respect to Groww, please feel free to write to us at support@groww.in or you can call us at +91 9108800000.</t>
  </si>
  <si>
    <t>https://i.ytimg.com/vi/msg3FMVw_-s/hqdefault.jpg</t>
  </si>
  <si>
    <t>How to avoid false breakouts in stock trading using Volume and Price Action!</t>
  </si>
  <si>
    <t>https://www.youtube.com/watch?v=ivHLaKG38qw</t>
  </si>
  <si>
    <t>ivHLaKG38qw</t>
  </si>
  <si>
    <t>How to avoid false breakouts in stock trading using Volume and Price Action!
#stocktrading #trading 
In this video, Aseem dives deep into volume analysis, an essential tool for traders to understand market behavior. He explores how volume and price movement work together to signal potential market trends and explains how to avoid false breakouts and breakdowns that can mislead traders.
0:00 Disclaimer
0:05 Introduction
1:45 How to interpret volume and price together?
8:50 Volume in different market phases
9:53 Intraday examples
14:05 Conclusion
Technical Analysis for Beginners playlist - https://www.youtube.com/playlist?list=PLnn1F0U-9KilbCrQfaQYT3JUcv4WF7RRI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
Name of the RA: Aakash Baid
Name of the narrator: Aseem Singhal
Date: December 1, 2024.</t>
  </si>
  <si>
    <t>https://i.ytimg.com/vi/ivHLaKG38qw/hqdefault.jpg</t>
  </si>
  <si>
    <t>Simple Low-Risk Options Strategy for Monthly Passive Income? | ft. Jasmeet Singh | Trading ki Baat</t>
  </si>
  <si>
    <t>https://www.youtube.com/watch?v=NEtMwz2WIk4</t>
  </si>
  <si>
    <t>NEtMwz2WIk4</t>
  </si>
  <si>
    <t>Simple Low-Risk Options Strategy for Monthly Passive Income? | ft. Jasmeet Singh | Trading ki Baat
For episode 9 of Trading Ki Baat, we have CA Jasmeet Singh, an options trader who has been trading since 2008. Jasmeet grinded through his extensive CA syllabus while simultaneously pursuing his passion for trading. In this video, he shares a very basic and simple strangle strategy for indices, along with a straddle strategy for stocks, perfect for complete beginners to generate passive monthly income. This episode is a must-watch if you're looking for a consistent flow of steady income to supplement your job and accelerate your financial growth.
0:00 - Highlights
0:42 - Introduction
5:17 - Family support after quitting job
6:06 - New regime shift and transitioning to changes
9:19 - Which types of Bank Nifty strategies will work now?
10:27 - Strangle strategy
14:17 - Margin and risk management 
25:29 - Any similar strategy for stocks?
27:54 - Adjustments for stock options
29:52 - Criteria for stock screening
31:14 - Advantages of stock options over index options
33:19 - Advice for new traders
35:09 - Conclusion
About Groww
Groww is India’s Best Investment App and the Largest Stock Broker.
Find us here:
Android app: https://app.groww.in/v3cO/f9o4prne
iOS app - https://app.groww.in/v3cO/tu0yrc3e
Website - https://groww.in/
#TradingKiBaat #TKB9
Books mentioned by Jasmeet: 
Option Volatility &amp; Pricing by Sheldon Natenburg - https://www.amazon.in/Option-Volatility-Pricing-Strategies-Techniques/dp/0071818774
Trading in the Zone by Mark Douglas - https://www.amazon.in/Trading-Zone-Confidence-Discipline-Attitude/dp/0735201447
Trading Ki Baat S1 - https://www.youtube.com/playlist?list=PLnn1F0U-9KimvGP2PsPecyG8rhB7UU2xS
Trading Ki Baat S2 - https://www.youtube.com/playlist?list=PLnn1F0U-9KilofzNiouLIhDrwiIZKm0xg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</si>
  <si>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https://i.ytimg.com/vi/NEtMwz2WIk4/hqdefault.jpg</t>
  </si>
  <si>
    <t>Wyckoff Trading: How to Trade Like Smart Money and Institutions!</t>
  </si>
  <si>
    <t>https://www.youtube.com/watch?v=RiOP0YajFFg</t>
  </si>
  <si>
    <t>RiOP0YajFFg</t>
  </si>
  <si>
    <t>Wyckoff Trading: How to Trade Like Smart Money and Institutions!
In this video, Aseem dives into Wyckoff Theory, a technical analysis approach developed by Richard D. Wyckoff in the early 20th century. He breaks down the key concepts of the Accumulation and Distribution phases, explaining how they reflect market behavior and the actions of institutional investors (or 'smart money').
0:00 Disclaimer
0:05 Introduction
1:49 Accumulation Schematic
5:02 Distribution Schematic
7:09 Examples on charts
11:34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
Name of the RA: Aakash Baid
Name of the narrator: Aseem Singhal
Date: November 6, 2024.</t>
  </si>
  <si>
    <t>https://i.ytimg.com/vi/RiOP0YajFFg/hqdefault.jpg</t>
  </si>
  <si>
    <t>Secret Options Trading Strategy to Outsmart the Market! | ft. @SantoshKumarPasi  | Trading Ki Baat</t>
  </si>
  <si>
    <t>https://www.youtube.com/watch?v=nePjL1PDhHk</t>
  </si>
  <si>
    <t>nePjL1PDhHk</t>
  </si>
  <si>
    <t>Secret Options Trading Strategy to Outsmart the Market! | ft. @SantoshKumarPasi | Trading Ki Baat
In episode 8 of Trading Ki Baat, we are joined by Mr. Santosh Pasi, the mastermind behind the widely used options tool, OptionsOracle. With over 15 years of experience in options trading, Santosh specializes in non-directional, volatility-based strategies, seamlessly blending algorithmic and discretionary methods. In this episode, he discusses his self-made PSP1 options strategy, designed to profit in nearly all market conditions.
0:00 Highlights
0:37 Introduction
7:19 Strategy creation thought process
12:16 Advantages
12:59 Challenges
14:04 PSP1 Options Strategy
26:15 Greek Matrix
28:14 Greek Probability
31:35 Favorable Conditions
34:25 Risk Management
42:20 Examples on Chart
47:38 Key Points to Remember
50:37 Using BANKBEES
53:08 Outro
About Groww
Groww is India’s Best Investment App and the Largest Stock Broker.
Find us here:
Android app: https://app.groww.in/v3cO/f9o4prne
iOS app - https://app.groww.in/v3cO/tu0yrc3e
Website - https://groww.in/
#TradingKiBaat #TKB8
Trading Ki Baat S1 - https://www.youtube.com/playlist?list=PLnn1F0U-9KimvGP2PsPecyG8rhB7UU2xS
Trading Ki Baat S2 - https://www.youtube.com/playlist?list=PLnn1F0U-9KilofzNiouLIhDrwiIZKm0xg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</si>
  <si>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https://i.ytimg.com/vi/nePjL1PDhHk/hqdefault.jpg</t>
  </si>
  <si>
    <t>Stock Trader's SECRET to earning ₹6-7 lakhs Per Month REVEALED!</t>
  </si>
  <si>
    <t>https://www.youtube.com/watch?v=myyI-Wpp_kg</t>
  </si>
  <si>
    <t>myyI-Wpp_kg</t>
  </si>
  <si>
    <t>In episode 7 of Breakfast with Traders, we feature Kirubakaran Rajendran, a seasoned systematic stock trader who has been actively trading since 2008 and is the founder of SquareOff. He delves into building rule-based trading systems, adapting to regulatory changes, and simplifying trading through automation.
#BreakfastWithTraders #EP07
0:00 Highlights
1:09 Introduction
2:37 When did Kirubakaran start trading?
6:04 Where did Kirubakaran learn trading?
10:26 Losing or breakeven before 2018?
10:52 Best / worst trade?
13:53 Any regrets sacrificing youth life to fund trading?
17:02 What boosted his confidence during his 2014 comeback?
19:08 Initial capital after quitting job
19:30 How information overload is bad for traders
21:01 First year of full-time trading after quitting job
22:53 Best trading year?
23:18 Why didn’t Kirubakaran try positional systems?
24:36 How will BankNifty's regulatory changes impact Kirubakaran's profits?
25:31 Will Kirubakaran continue trading despite new regulations and higher risks?
29:34 Advice for new traders
31:15 Discretionary vs. systematic trading
36:19 Why do great analysts struggle with execution?
37:28 Current strategies
39:53 Future plans?
41:09 Why did Kirubakaran withdrew half of his trading capital?
42:52 Current trading capital?
43:11 Will he explore positional trading now?
43:42 Additional income sources
44:56 Trading capital as % of net worth
45:58 End goal in trading
48:45 Outro
About Groww
Groww is India’s Best Investment App and the Largest Stock Broker.
Find us here:
Android app: https://app.groww.in/v3cO/f9o4prne
iOS app - https://app.groww.in/v3cO/tu0yrc3e
Website - https://groww.in/
Breakfast with Traders series - https://www.youtube.com/playlist?list=PLnn1F0U-9KinYTyhRKARggdBgAsjGetnv
Venue credits: BLR Brewing Co - Whitefield
https://g.co/kgs/KgYtv2i
Book mentioned by Kirubakaran:📖
How I Made $2 Million in the Stock Market by Nicholas Darvas.
https://www.amazon.in/How-Made-Million-Stock-Market/dp/8170947731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</si>
  <si>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https://i.ytimg.com/vi/myyI-Wpp_kg/hqdefault.jpg</t>
  </si>
  <si>
    <t>Want to Catch the Next BIG IPO Listing Breakout? Watch This Now!</t>
  </si>
  <si>
    <t>https://www.youtube.com/watch?v=D5iG6EiiVkc</t>
  </si>
  <si>
    <t>D5iG6EiiVkc</t>
  </si>
  <si>
    <t>Want to Catch the Next BIG IPO Listing Breakout? Watch This Now!
In this video, Aseem provides a step-by-step guide to identifying profitable opportunities in newly listed stocks. Learn how to catch explosive moves in IPOs using the Open Range Breakout (ORB) strategy on a 5-minute timeframe. Aseem also shares reliable sources for checking current and upcoming IPOs. By the end of this video, you'll understand how to apply the ORB strategy to capitalize on significant price movements in IPO stocks.
0:00 Disclaimer
0:58 Introduction
2:00 Where to check current and upcoming IPO’s?
2:54 Examples
10:38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
Name of the RA: Aakash Baid
Name of the narrator: Aseem Singhal
Date: October 23, 2024.</t>
  </si>
  <si>
    <t>https://i.ytimg.com/vi/D5iG6EiiVkc/hqdefault.jpg</t>
  </si>
  <si>
    <t>STOP Losing Money in Trading &amp; Start Winning! Free Indicator Revealed to Ride Multibagger Stocks</t>
  </si>
  <si>
    <t>https://www.youtube.com/watch?v=54u9wuZMGCE</t>
  </si>
  <si>
    <t>54u9wuZMGCE</t>
  </si>
  <si>
    <t>STOP Losing Money in Trading &amp; Start Winning! Free Indicator Revealed to Ride Multibagger Stocks
In this episode of Trading Ki Baat, we have Mr. Rakesh Pujara, founder of Compounding Wealth Advisors LLP. With over 25 years of experience in the Indian equity markets, Rakesh specializes in trend-following and multi-system trading to achieve risk-adjusted returns. He delves into how wealth creation happens, compares returns across asset classes, and emphasizes the benefits of systematic investing. Rakesh shares the CWA 2 Sigma trend-following system, using real-world examples and discusses the importance of non-correlation and diversification. Concluding with actionable tips, this episode equips traders with a strong foundation for smart investing.
00:00 - Highlights
00:56 - Intro
05:54 - Overcoming self-doubt
09:20 - Common margin instruments
10:31 - Backtesting returns over 12-13 years
12:49 - Returns across different asset classes
17:34 - When does wealth explosion happen? 
22:04 - Problems in direct equity investing
25:33 - Benefits of systematic investing
33:50 - CWA 2 Sigma trend following system
39:14 - Practical examples
47:50 - Trading framework 
52:29 - Benefits of diversification
53:50 - Understanding non-correlation
55:36 - Strategic diversification
1:00:06 - Summary
About Groww
Groww is India’s Best Investment App and the Largest Stock Broker.
Find us here:
Android app: https://app.groww.in/v3cO/f9o4prne
iOS app - https://app.groww.in/v3cO/tu0yrc3e
Website - https://groww.in/
#TradingKiBaat #TKB7
Presentation used by Rakesh -
https://drive.google.com/file/d/1GWIQoMMohJs1lOr7CPyf8AQy5Yd-uDJL/view?usp=sharing
CWA Sigma 2 indicator form link - https://docs.google.com/forms/d/e/1FAIpQLSf8nyn5FQyY7OJ8NBe584MiJMm-WWFPZgNJiWx38WABbApfJg/viewform
CWA 2 Sigma watchlist(1500 stocks) - https://drive.google.com/file/d/1l-HdkyYFhXyKw8mFnrGXjaqktdpS6XKy/view?usp=sharing 
You can use the above list for script codes or copy from Tradingview watchlists below👇
https://www.tradingview.com/watchlists/165669910/
https://www.tradingview.com/watchlists/165669699/
Books mentioned by Rakesh: 
Principles by Ray Dalio - https://www.flipkart.com/principles/p/itmex2w7fa4sdm6g
Unholy Grails by Nick Radge - https://www.amazon.in/Unholy-Grails-New-Road-Wealth-ebook/dp/B007T97DJQ
The Man Who Solved the Market by Gregory Zuckerman - https://www.amazon.in/Man-Who-Solved-Market-Revolution/dp/073521798X
Trading Ki Baat S1 - https://www.youtube.com/playlist?list=PLnn1F0U-9KimvGP2PsPecyG8rhB7UU2xS
Trading Ki Baat S2 - https://www.youtube.com/playlist?list=PLnn1F0U-9KilofzNiouLIhDrwiIZKm0xg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</si>
  <si>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https://i.ytimg.com/vi/54u9wuZMGCE/hqdefault.jpg</t>
  </si>
  <si>
    <t>I Quit My 9-5 Job and Made Crores in Trading! ft. @ThetaGainers | Breakfast with Traders Ep. 6</t>
  </si>
  <si>
    <t>https://www.youtube.com/watch?v=GAfbM5gONHc</t>
  </si>
  <si>
    <t>GAfbM5gONHc</t>
  </si>
  <si>
    <t>I Quit My 9-5 Job and Made Crores in Trading! ft. @ThetaGainers  | Breakfast with Traders Ep. 6
In episode 6 of Breakfast with Traders, we feature Reyaansh Upadhyay, one of the first YouTubers in India to make positional option selling mainstream. He shares his journey from corporate life to becoming a full-time trader, diving deep into the intricacies of options selling and the discipline it requires. Reyaansh also opens up about how he successfully juggles running multiple businesses while actively trading, providing invaluable advice for those aspiring to make a similar career shift.
#BreakfastWithTraders #EP06
0:00 - Highlights
1:10 - Introduction
8:30 - Starting a YouTube channel
10:00 - First-time profitability
16:15 - Shifting focus to option selling
18:25 - Praful’s story of convincing his parents
24:45 - Quitting the job
26:10 - Expected returns
27:55 - Kota rat race
31:45 - When should new traders accept trading isn’t suitable for them
34:30 - How a small gift costed Reyaansh ₹38 lakhs
38:40 - Benefits of additional income sources during drawdown
50:10 - Revenue split
51:50 - Trading capital
54:40 - Lifestyle and expenses
58:40 - Strategies and backtesting
1:03:30 - Risk management
1:07:00 - Outro
Breakfast with Traders series - https://www.youtube.com/playlist?list=PLnn1F0U-9KinYTyhRKARggdBgAsjGetnv
About Groww
Groww is India’s Best Investment App and the Largest Stock Broker.
Find us here:
Android app: https://app.groww.in/v3cO/f9o4prne
iOS app - https://app.groww.in/v3cO/tu0yrc3e
Website - https://groww.in/
Venue credits: BLR Brewing Co - Whitefield
https://g.co/kgs/KgYtv2i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</si>
  <si>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https://i.ytimg.com/vi/GAfbM5gONHc/hqdefault.jpg</t>
  </si>
  <si>
    <t>How to Trade BankNifty After Weekly Expiries End? | Option Buying Strategy with Supertrend Indicator</t>
  </si>
  <si>
    <t>https://www.youtube.com/watch?v=KCQpbZA84yU</t>
  </si>
  <si>
    <t>KCQpbZA84yU</t>
  </si>
  <si>
    <t>How to Trade BankNifty After Weekly Expiries End? | Option Buying Strategy with Supertrend Indicator
In this video, Aseem explains how to trade BankNifty after the weekly expiries end on November 13. He discusses the adjustments traders will need to make due to this change and shares a powerful option buying strategy using the Supertrend indicator to navigate the new trading landscape effectively.
0:00 Disclaimer
0:05 Introduction
1:41 Option Buying using SuperTrend
9:48 Summary
11:30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
Name of the RA: Aakash Baid
Name of the narrator: Aseem Singhal
Date: October 16, 2024.</t>
  </si>
  <si>
    <t>https://i.ytimg.com/vi/KCQpbZA84yU/hqdefault.jpg</t>
  </si>
  <si>
    <t>STOP Falling for Smart Money Traps in the Market! : Inducements Explained</t>
  </si>
  <si>
    <t>https://www.youtube.com/watch?v=bpXWTPa-erk</t>
  </si>
  <si>
    <t>bpXWTPa-erk</t>
  </si>
  <si>
    <t>STOP Falling for Smart Money Traps in the Market! : Inducements Explained
In this video, Aseem demystifies the concept of inducements in trading, explaining how large market players use price movements to entice retail traders into making premature decisions. He dives deep into the tactics smart money uses to manipulate market conditions and generate liquidity, discussing real-world examples to illustrate these strategies. Aseem also breaks down how recognizing inducements can give traders a significant edge in identifying reversals and making more informed trades.
0:00 Disclaimer
0:05 Introduction
1:04 What are inducements?
3:03 Examples 
11:38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
Name of the RA: Aakash Baid
Name of the narrator: Aseem Singhal
Date: October 4, 2024.</t>
  </si>
  <si>
    <t>https://i.ytimg.com/vi/bpXWTPa-erk/hqdefault.jpg</t>
  </si>
  <si>
    <t>Options Trading for Beginners (Complete In-Depth Guide) | Trading Masterclass</t>
  </si>
  <si>
    <t>https://www.youtube.com/watch?v=tuSsHT-YHec</t>
  </si>
  <si>
    <t>tuSsHT-YHec</t>
  </si>
  <si>
    <t>Options Trading for Beginners (Complete In-Depth Guide) | Trading Masterclass
In this video, Aseem breaks down the fundamentals of options, providing a clear explanation of their mechanics and terminology. He dives deep into the purpose behind the creation of options and explores how they are structured within the option chain. Aseem also shares insights on selecting the ideal strike price and offers a comprehensive comparison of option buying versus selling. This video is a must-watch for beginner traders aiming to master options, manage risk effectively, and make informed decisions in both stable and volatile market conditions.
0:00 Disclaimer
0:05 Introduction
1:00 Recap of futures
2:24 Options and their terminology
7:25 Purpose of options
9:47 Understanding the option chain
12:14 Choosing the right strike price
21:58 Option buying vs selling
29:08 Key points for option buying
33:38 Key points for option selling
37:18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
Name of the RA: Aakash Baid
Name of the narrator: Aseem Singhal
Date: October 4, 2024.</t>
  </si>
  <si>
    <t>https://i.ytimg.com/vi/tuSsHT-YHec/hqdefault.jpg</t>
  </si>
  <si>
    <t>Dr. Manish EXPOSES the Surprising Truth About Smart Money in Trading! | Trading Ki Baat</t>
  </si>
  <si>
    <t>https://www.youtube.com/watch?v=ISTy-WcJfWE</t>
  </si>
  <si>
    <t>ISTy-WcJfWE</t>
  </si>
  <si>
    <t>Dr. Manish EXPOSES the Surprising Truth About Smart Money in Trading! | Trading Ki Baat 
In this episode of Trading Ki Baat, Dr. Manish Chopra, a part-time trader and pediatrician, shares his unique insights into the psychology of smart money. He offers advice on developing a broad market view and analyzing key trends. Dr. Manish breaks down building stock positions and explains the concept of smart money, using real-world examples like SBI, Reliance, and Tata Technologies to showcase its impact. He also highlights how open interest (OI) provides valuable clues for market positioning, discusses the underperformance of Bank Nifty, and explains how to track institutional footprints to trade with them, rather than against them.
0:00 – Highlights
0:39 – Introduction
6:19 – Juggling between trading and clinics
7:00 – Similarities in trading and the medical profession
7:46 – How to develop a broad market view and analyse it?
9:45 – How Manish builds positions in stocks
12:01 – What is smart money and who are they?
14:29 – SBI example
15:52 – Screen indications for smart money positioning
16:50 – Tata Technologies example
17:38 – Additional tools and indicators for trading
19:18 – NIFTY example
20:23 – Results season and valuations
27:22 – Market positioning hints from open interest (OI)
33:57 – Underperformance of bank nifty
39:22 – Does Manish do expiry day trading?
44:14 – Importance of smart money and how to keep track of their footprints
44:47 – Advice for traders
46:22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 IPO review by Groww - https://www.youtube.com/@iporeviewbygroww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</si>
  <si>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https://i.ytimg.com/vi/ISTy-WcJfWE/hqdefault.jpg</t>
  </si>
  <si>
    <t>You Won't Believe The POWER of Rolling Over Options!</t>
  </si>
  <si>
    <t>https://www.youtube.com/watch?v=JdgXt4saeZU</t>
  </si>
  <si>
    <t>JdgXt4saeZU</t>
  </si>
  <si>
    <t>You Won't Believe The POWER of Rolling Over Options!
In this video, Aseem reveals how to expertly roll over options like a pro trader, incorporating the use of pivot points to enhance decision-making. He dives into the mechanics of adjusting option positions in response to market movements, sharing real-life examples and backtesting scenarios. Aseem demonstrates how to optimize profitability, manage risk, and to time adjustments more effectively. With practical guidance, this video is ideal for traders aiming to refine their skills and take control of their trades, even in volatile markets.
Timestamps - 
0:00 Disclaimer
0:05 Introduction
1:37 What are pivot points?
2:13 Rollover strategy
14:30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23, 2024.
If you have any concerns with respect to Groww, please feel free to write to us at support@groww.in or you can call us at +91 9108800000.</t>
  </si>
  <si>
    <t>https://i.ytimg.com/vi/JdgXt4saeZU/hqdefault.jpg</t>
  </si>
  <si>
    <t>How to Profit from Option Spikes: High Probability Trading Setups | Trading Ki Baat Ft. Vishal</t>
  </si>
  <si>
    <t>https://www.youtube.com/watch?v=Lm1o1yWSENk</t>
  </si>
  <si>
    <t>Lm1o1yWSENk</t>
  </si>
  <si>
    <t>Worried About Market Spikes? Here's a New Way of Trading Straddles Without Fear! | Trading Ki Baat
In this episode of Trading Ki Baat, former CMT director and seasoned options trader Vishal dives into advanced straddle trading strategies to help you navigate market spikes with confidence. He breaks down key concepts like straddle charts, rolling straddle strategies, and the unusual behavior of straddles in volatile markets. Vishal also compares implied volatility (IV) with straddle charts, highlighting how market and IV correlations affect our trades. As a bonus, he shares two powerful strategies and discusses an indicator to enhance our options trading.
0:00 - Highlights
0:31 - Introduction
1:38 - Vishal's trading journey
3:50 - Top resources to learn trading
8:08 - Understanding option spikes &amp; how to tackle them
13:10 - Straddle charts explained
16:38 - Rolling straddle 
17:17 - Different straddle behaviors
20:23 - Comparing implied volatility (IV) &amp; straddle charts
22:47 - The famous "9.20 straddle"
27:23 - Market and implied volatility correlation
29:32 - High probability reversal strategy
31:25 - Predicting spikes in the market
32:54 - Using the rate of change indicator
35:25 - RSI with Supertrend strategy
37:52 - Conclusion &amp; key takeaways
39:04 - Outro
Books mentioned by Vishal: 
Market Wizards: Interviews with Top Traders - https://amzn.in/d/3A4xunB
The New Market Wizards - https://amzn.in/d/2uema4x
Stock Market Wizards: Interviews with America's Top Stock Traders - https://amzn.in/d/0ztnMOZ
Trading Ki Baat S1 - https://www.youtube.com/playlist?list=PLnn1F0U-9KimvGP2PsPecyG8rhB7UU2xS
Trading Ki Baat S2 - https://www.youtube.com/playlist?list=PLnn1F0U-9KilofzNiouLIhDrwiIZKm0xg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</si>
  <si>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https://i.ytimg.com/vi/Lm1o1yWSENk/hqdefault.jpg</t>
  </si>
  <si>
    <t>Straddles vs Strangles: Which Options Strategy Suits You Best?</t>
  </si>
  <si>
    <t>https://www.youtube.com/watch?v=PNzMVq3sHa8</t>
  </si>
  <si>
    <t>PNzMVq3sHa8</t>
  </si>
  <si>
    <t>Straddles vs Strangles: Which Options Strategy Suits You Best?
In this video, Aseem dives into straddles and strangles, explaining how they work in different market conditions. He also provides examples of short straddles and strangles, backtesting each to reveal their potential profitability. With practical risk management tips, this video is ideal for traders looking to master these strategies.
0:00 Disclaimer
0:05 Introduction
0:47 What are long/short straddles?
1:52 Short straddle example
5:28 Short strangle example
8:43 Long straddle example
13:46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16, 2024.
If you have any concerns with respect to Groww, please feel free to write to us at support@groww.in or you can call us at +91 9108800000.</t>
  </si>
  <si>
    <t>https://i.ytimg.com/vi/PNzMVq3sHa8/hqdefault.jpg</t>
  </si>
  <si>
    <t>Master Trading Like a Business: Risk Management, Leverage &amp; Identifying Your Edge</t>
  </si>
  <si>
    <t>https://www.youtube.com/watch?v=bi3Ij1SBBtk</t>
  </si>
  <si>
    <t>bi3Ij1SBBtk</t>
  </si>
  <si>
    <t>Master Trading Like a Business: Risk Management, Leverage &amp; Identifying Your Edge | Breakfast with Traders Ep. 5
In episode 5 of Breakfast with Traders, we feature Nikhil Khandelwal, a full-time options seller and avid traveler who loves exploring new places, trading on the go, and meeting new people. He shares insights on overcoming self-doubt, finding market edges, managing drawdowns, and the perks of being part of a trading community. Nikhil wraps up with valuable advice for new traders and reveals his next trading destination.
#BreakfastWithTraders #EP05
0:00 Intro
1:23 Nikhil's background
6:46 Purpose/vision of this series
7:52 Initial trading days
10:52 How to protect yourself against tail events
14:49 Percentage of Nikhil's capital spent on tail protection
15:32 Importance of leverage in all businesses
16:47 Are Nikhil's inspirations an example of survivorship bias?
18:51 Were Nikhil's parents supportive and how much was his initial capital?
21:59 Self-doubt and mentality
24:46 What aspect of trading brings fulfillment to Nikhil?
30:30 How to identify and utilize an edge in the market?
39:01 How to handle drawdown periods?
41:04 Is Nikhil a systematic or a discretionary trader?
55:03 Max Value at Risk (VaR) on any stock option position
57:22 Perks of a trading community
1:04:26 Tips for new traders
1:08:31 Next trading destination
1:09:08 Outro
Breakfast with Traders series - https://www.youtube.com/playlist?list=PLnn1F0U-9KinYTyhRKARggdBgAsjGetnv
Venue credits: Brahma Brews, JP Nagar, Bangalore.
https://maps.app.goo.gl/woiaQVgommyyCPzg9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</si>
  <si>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https://i.ytimg.com/vi/bi3Ij1SBBtk/hqdefault.jpg</t>
  </si>
  <si>
    <t>Mean Reversion Strategy Using Pivot Points | Intraday &amp; Positional Trading</t>
  </si>
  <si>
    <t>https://www.youtube.com/watch?v=PHVuCaDABec</t>
  </si>
  <si>
    <t>PHVuCaDABec</t>
  </si>
  <si>
    <t>Mean Reversion Strategy Using Pivot Points | Intraday &amp; Positional Trading
In this video, Aseem explains and backtests a Mean Reversion strategy using pivot points to capture price reversals at support and resistance levels. He demonstrates the strategy in both intraday and positional trading, offering practical examples and risk management tips. With clear guidance, this video helps traders of all levels apply the strategy for consistent returns despite market volatility.
0:00 Disclaimer
0:05 Intro
1:22 What are pivot points? + Intraday example
5:45 Backtesting + strategy rules
8:03 R1/S1 examples
9:16 Positional stocks strategy
13:09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10, 2024.
If you have any concerns with respect to Groww, please feel free to write to us at support@groww.in or you can call us at +91 9108800000.</t>
  </si>
  <si>
    <t>https://i.ytimg.com/vi/PHVuCaDABec/hqdefault.jpg</t>
  </si>
  <si>
    <t>The Only Swing Trading Video You Will Ever Need! | Trading Ki Baat</t>
  </si>
  <si>
    <t>https://www.youtube.com/watch?v=5Ab2AMWEEzU</t>
  </si>
  <si>
    <t>5Ab2AMWEEzU</t>
  </si>
  <si>
    <t>The Only Swing Trading Video You Will Ever Need! | Trading Ki Baat
In this episode of Trading Ki Baat, seasoned trader Harneet Singh Trehan, with over 9 years of experience, explores the essential concepts of swing trading. He discusses crucial strategies, such as breakout and reversal trading, and breaks down how to interpret candlestick patterns. Harneet emphasizes the significance of managing risk, determining proper position sizes, and scaling your capital effectively. Whether you're just starting out or already experienced, this episode offers valuable guidance on recognizing trends, performing multi-time frame analysis, and selecting the right stocks to enhance your trading performance.
0:00 Intro
1:45 Harneet’s trading journey
5:57 What is swing trading and who is it suitable for?
7:22 How to identify trends?
12:12 Candlestick patterns and their significance at supports/resistances
15:44 Example of trend identification 
19:33 What is multi-time frame analysis?
22:49 2 swing trading setups
28:04 Example of multi-time frame analysis
37:06 Stock selection / watchlist preparation 
40:09 Capital required, position sizing &amp; risk management
45:03 Gap risk
47:19 Max stop-loss percentage
48:13 Any indicators for swing trading?
50:18 Reasonable return expectations
51:31 Conclusion
53:17 Outro 
Trading Ki Baat S1 - https://www.youtube.com/playlist?list=PLnn1F0U-9KimvGP2PsPecyG8rhB7UU2xS
Trading Ki Baat S2 - https://www.youtube.com/playlist?list=PLnn1F0U-9KilofzNiouLIhDrwiIZKm0xg
Twitter Handle - https://twitter.com/TradeWithGroww_
Instagram Handle - https://www.instagram.com/tradingwithgroww/
For educational videos on trading, please subscribe to the Trading with Groww channel: https://openinapp.co/youtube/trading-with-groww
About Groww
Groww is India’s Best Investment App and the Largest Stock Broker.
Find us here:
Android app: https://app.groww.in/v3cO/f9o4prne
iOS app - https://app.groww.in/v3cO/tu0yrc3e
Website - https://groww.in/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If you have any concerns with respect to Groww, please feel free to write to us at support@groww.in or you can call us at +91 9108800000.</t>
  </si>
  <si>
    <t>https://i.ytimg.com/vi/5Ab2AMWEEzU/hqdefault.jpg</t>
  </si>
  <si>
    <t>Zero to Hero Strategy: Master Option Buying on Expiry Days!</t>
  </si>
  <si>
    <t>https://www.youtube.com/watch?v=beNUQunShgs</t>
  </si>
  <si>
    <t>beNUQunShgs</t>
  </si>
  <si>
    <t>Zero to Hero Strategy: Master Option Buying on Expiry Days!
In this video, Aseem explains and backtests an expiry day option buying strategy using data from January 2024. Despite its lower accuracy, the strategy offers high return potential with proper risk management. Aseem breaks down key components to help traders capitalize on volatility and maximize profits on expiry day, providing practical guidance for both beginners and experienced traders.
Disclaimer : This strategy involves high risk. New traders should prioritize risk management and test it with small position sizes. Trade cautiously.
0:00 Disclaimer
0:05 Intro
0:54 What does Zero-Hero mean?
1:55 Rules 
6:06 Backtesting
10:05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4, 2024.
If you have any concerns with respect to Groww, please feel free to write to us at support@groww.in or you can call us at +91 9108800000.</t>
  </si>
  <si>
    <t>https://i.ytimg.com/vi/beNUQunShgs/hqdefault.jpg</t>
  </si>
  <si>
    <t>How to Master Full-Time Stock trading: Risk Management, Capital Strategies</t>
  </si>
  <si>
    <t>https://www.youtube.com/watch?v=8_oX0nzRlkI</t>
  </si>
  <si>
    <t>8_oX0nzRlkI</t>
  </si>
  <si>
    <t>How to Master Full-Time Trading: Risk Management, Capital Strategies | Breakfast with Traders Ep. 4
In episode 4 of “Breakfast with Traders,” Saketh Ramakrishna and Aamodh Kuthethur delve into the nitty-gritties of full-time trading. Aamodh recently left his high-paying job to focus on trading, while Saketh has chosen to diversify his income through multiple business ventures. This episode is a treasure trove of advice for anyone considering the leap into full-time trading.
#BreakfastWithTraders #EP04
0:00 – Upcoming
1:24 – Intro
6:47 – How long has it been since Aamodh's profitable?
7:23 – Previous job's salary VS profits after full-time trading
8:43 – Aamodh's current capital
9:00 – Average monthly returns
10:06 – Aamodh's view on SEBI Consultation papers
11:28 – Law of large numbers
13:04 – Saketh’s decision to diversify income streams
16:58 – Story behind raising money from college professor and Saketh's transparency
23:48 – The number of strategies Aamodh has
25:11 – Aamodh’s worst-case scenario
25:30 – Why Aamodh does not trade with his entire net worth
29:53 – If trading is automated, why did Aamodh quit his job?
31:28 – Ideal capital required to become a full-time trader
33:14 – Saketh’s option strategies &amp; exposure distribution
39:40 – Aamodh’s trading system preference
43:35 – Mindset during extended drawdown periods
46:47 – Importance of networking and a safety cushion
51:05 – Is Aamodh very passionate about trading?
52:58 – Changes in options trading and regulations over the years
56:49 – Systematic or discretionary?
56:56 – The three buckets of trading
58:37 – Perks of being in a trading community
1:05:56 – Aamodh's future plans
1:06:39 – Was Aamodh satisfied in his previous job?
1:07:20 – Trading vs corporate problems
1:08:10 – Why money isn't the sole metric of success for Saketh
1:10:59 – Outro
Breakfast with Traders series - https://www.youtube.com/playlist?list=PLnn1F0U-9KinYTyhRKARggdBgAsjGetnv
Venue credits: Suay, JP Nagar, Bangalore.
https://maps.app.goo.gl/FVNQV2cUpFMvzSus6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</si>
  <si>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https://i.ytimg.com/vi/8_oX0nzRlkI/hqdefault.jpg</t>
  </si>
  <si>
    <t>How To Time The Markets With Stage &amp; Base Analysis</t>
  </si>
  <si>
    <t>https://www.youtube.com/watch?v=mYSAPVe1L1s</t>
  </si>
  <si>
    <t>mYSAPVe1L1s</t>
  </si>
  <si>
    <t>How To Time The Markets With Stage &amp; Base Analysis
In this video, Aseem breaks down the legendary trading strategy of Stan Weinstein, one of the most influential traders/investors in stock market history. Discover how Weinstein identified and navigated the 4 stages of stock market cycles to achieve consistent success. Aseem also provides a real-life example from the Indian stock market, offering practical guidance on how to apply this strategy using optimal entry and exit points. Whether you're a beginner or an experienced, this video will equip you with valuable insights to enhance your investing/trading skills.
0:00 Disclaimer
0:05 Intro 
0:48 Who was Stan Weinstein?
1:36 The 4 stages of market cycles
7:20 Example
11:06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August 26, 2024.
If you have any concerns with respect to Groww, please feel free to write to us at support@groww.in or you can call us at +91 9108800000.</t>
  </si>
  <si>
    <t>https://i.ytimg.com/vi/mYSAPVe1L1s/hqdefault.jpg</t>
  </si>
  <si>
    <t>Everything About Full-Time Options Trading with Deepak Wadhwa | Trading Ki Baat</t>
  </si>
  <si>
    <t>https://www.youtube.com/watch?v=AKJLln-sxxI</t>
  </si>
  <si>
    <t>AKJLln-sxxI</t>
  </si>
  <si>
    <t>Everything About Full-Time Options Trading with Deepak Wadhwa | Trading Ki Baat
Deepak Wadhwa is a seasoned trader and finance influencer with a wealth of experience in trading and investments. With an MBA in Finance and a career filled with diverse business ventures, Deepak has honed his expertise, especially in options trading. In this video, Deepak shares 3 powerful option strategies that have proven effective for him over the years. Additionally, Deepak offers invaluable advice on when it's the right time to consider transitioning to full-time trading.
Trading Ki Baat S1 - https://www.youtube.com/playlist?list=PLnn1F0U-9KimvGP2PsPecyG8rhB7UU2xS
Trading Ki Baat S2 - https://www.youtube.com/playlist?list=PLnn1F0U-9KilofzNiouLIhDrwiIZKm0xg
0:00 Disclaimer
0:05 Intro
1:33 Why did Deepak pursue trading full-time?
5:02 Why and when should people consider full-time trading? 
7:53 Reasonable return expectations
9:58 The most difficult trading period for Deepak 
11:50 Should we buy or sell options?
15:20 Tips for option traders
18:03 Deepak's trading style
18:52 Strategy 1
27:07 Strategy 2
38:14 Strategy 3
40:23 Life lessons for traders
42:01 Minimum trading capital, according to Deepak
42:37 Diversifying trading income across various assets 
43:50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About Groww
Groww is India’s Best Investment App and the Largest Stock Broker.
Find us here:
Android app: https://app.groww.in/v3cO/f9o4prne
iOS app - https://app.groww.in/v3cO/tu0yrc3e
Website - https://groww.in/
If you have any concerns with respect to Groww, please feel free to write to us at support@groww.in or you can call us at +91 9108800000.</t>
  </si>
  <si>
    <t>https://i.ytimg.com/vi/AKJLln-sxxI/hqdefault.jpg</t>
  </si>
  <si>
    <t>How to Trade Imbalances for Maximum Profit: A Complete Strategy!</t>
  </si>
  <si>
    <t>https://www.youtube.com/watch?v=eAI2Hq1JQzQ</t>
  </si>
  <si>
    <t>eAI2Hq1JQzQ</t>
  </si>
  <si>
    <t>How to Trade Imbalances for Maximum Profit: A Complete Strategy!
0:00 Disclaimer
0:05 Intro
1:47 What is an imbalance?
2:14 How to find imbalances?
3:18 Using Volume Profile tool
4:40 Examples 
9:02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August 12, 2024.
If you have any concerns with respect to Groww, please feel free to write to us at support@groww.in or you can call us at +91 9108800000.</t>
  </si>
  <si>
    <t>https://i.ytimg.com/vi/eAI2Hq1JQzQ/hqdefault.jpg</t>
  </si>
  <si>
    <t>How did Yogeeswar achieve a net worth of 10 crores by trading options?</t>
  </si>
  <si>
    <t>https://www.youtube.com/watch?v=bYipeVuTN7U</t>
  </si>
  <si>
    <t>bYipeVuTN7U</t>
  </si>
  <si>
    <t>How did Yogeeswar achieve a net worth of 10 crores by trading options?
0:00 Disclaimer
0:05 Intro
1:39 How Yogeeswar and his family got into trading
4:09 Initial trading capital
7:09 Self doubt on trading full-time
9:05 Current trading capital
10:28 Does Yogeeswar trade with the same initial enthusiasm nowadays? 
12:27 Is trading daily expiries riskier? 
14:07 Profitability before full-time
15:02 Profitability after starting full-time 
16:36 Initial psychology and mindset
20:40 Yogeeswar's trading arsenal
20:56 Adani-Hindenburg bet
26:23 Does Yogeeswar still actively buy options? 
28:52 Average monthly returns 
29:14 Source split of first crore for Yogeeswar
29:52 How to get funded?
30:42 Yogeeswar's biggest loss 
33:19 Recent option spikes 
35:35 Sizing in expiry trading
36:30 Trading stock options 
38:30 Role as head trader at proprietary firm
39:00 Risk management of firm
39:39 Influential people in Yogeeswar's life 
41:22 Validation by profits
43:24 Pyramiding and laddering 
44:52 Reading habit and book collection
45:35 Future plans 
48:24 Yogeeswar's introspection 
49:31 Favourite trading days 
53:01 Role of fitness in trading
54:00 Why Yogeeswar is not inflating his lifestyle
55:08 Advice for new traders
1:01:56 Outro
#BreakfastWithTraders #BWT3
Venue credits: Uru Brewpark
www.youtube.com/@UCj_xY257KeVwmqOI332BpQQ 
https://g.co/kgs/qRbdTst
Breakfast with Traders series - https://www.youtube.com/playlist?list=PLnn1F0U-9KinYTyhRKARggdBgAsjGetnv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</si>
  <si>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https://i.ytimg.com/vi/bYipeVuTN7U/hqdefault.jpg</t>
  </si>
  <si>
    <t>How to Use Fractals for Swing Trading Success: A Step-by-Step Guide!</t>
  </si>
  <si>
    <t>https://www.youtube.com/watch?v=DQacRlsZDo0</t>
  </si>
  <si>
    <t>DQacRlsZDo0</t>
  </si>
  <si>
    <t>How to Use Fractals for Swing Trading Success: A Step-by-Step Guide!
0:00 Disclaimer
0:05 Introduction
1:03 What are fractals?
5:06 Combining fractals with moving averages
9:43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August 8, 2024.
If you have any concerns with respect to Groww, please feel free to write to us at support@groww.in or you can call us at +91 9108800000.</t>
  </si>
  <si>
    <t>https://i.ytimg.com/vi/DQacRlsZDo0/hqdefault.jpg</t>
  </si>
  <si>
    <t>Top TRADER with 34 Years Experience Shares SECRET to Success | Trading Ki Baat</t>
  </si>
  <si>
    <t>https://www.youtube.com/watch?v=gypy5ofHU2A</t>
  </si>
  <si>
    <t>gypy5ofHU2A</t>
  </si>
  <si>
    <t>Top TRADER with 34 Years Experience Shares SECRET to Success
 #TradingKiBaat
Trading Ki Baat Season 1- https://www.youtube.com/playlist?list=PLnn1F0U-9KimvGP2PsPecyG8rhB7UU2xS
0:00 - Disclaimer
0:05 - Intro
1:03 - When did Satish start trading?
1:33 - What was offline trading like?
2:04 - Trading during Dot-com bubble, 1992 scam and 2008 financial crisis 
4:47 - Satish’s entry into option trading
7:09 - Changes in options trading over the years
8:07 - Which trading strategy does Satish follow?
8:42 - Advantages of index options over stock options
9:15 - Satish’s strategy in depth
13:11 - Advantages of upcoming week’s expiry options over 0DTE/current week's expiry options
14:28 - Which indices does Satish prefer to trade in?
15:09 - Satish’s risk management
16:09 - Importance of fixing a daily loss limit
16:38 - Deciding target
17:07 - Return expectations of strategy
18:04 - How to manage overnight risk?
20:07 - What is algo trading and does Satish use it?
21:18 - Why majority of the traders do not survive in the markets?
21:53 - Can we use Satish's strategy on stocks aswell?
23:29 - How to manage risk during volatile days/periods?
24:51 - Satish's advice for new traders
26:40 -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</si>
  <si>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https://i.ytimg.com/vi/gypy5ofHU2A/hqdefault.jpg</t>
  </si>
  <si>
    <t>How Sourabh Sisodiya Mastered the Stock Market: A Pro-Trader’s Journey | Breakfast with Traders Ep.2</t>
  </si>
  <si>
    <t>https://www.youtube.com/watch?v=ksv1_Otcp6w</t>
  </si>
  <si>
    <t>ksv1_Otcp6w</t>
  </si>
  <si>
    <t>How Sourabh Sisodiya Mastered the Stock Market: A Pro-Trader’s Journey | Breakfast with Traders Ep.2
In Ep. 2 of Breakfast with Traders, we dive into Sourabh's trading adventure! He shares his early days, capital mishaps, and beliefs on personal finances and India's option craze. We explore his mindset shifts, losses, and the importance of community and family support. Sourabh also offers golden advice for new traders and wraps up with his top tips for aspiring traders.
Breakfast with Traders series - https://www.youtube.com/playlist?list=PLnn1F0U-9KinYTyhRKARggdBgAsjGetnv
0:00 Disclaimer
0:05 Intro
4:13 When did Sourabh's trading journey start?
4:48 How Sourabh mishandled his initial capital
6:05 Does Sourabh consider himself an example of survivorship bias?
6:52 Average returns Sourabh aims for monthly  
7:51 Did Sourabh transition to an aggressive/defensive trading mindset?
8:51 Did Sourabh ever doubt himself in trading as a profession?
11:55 Importance of being in a community of traders
14:11 Sourabh's biggest profitable trade
14:48 Importance of self awareness for traders
15:45 Family expectations from Sourabh
17:04 Why traders must be grateful
17:58 How Sourabh's wife supported him in his trading quest
19:23 How being humble and having low expectations help
20:12 Importance of reinvesting profits in self-education
23:03 Why people must be open to learning from anyone and anywhere
24:33 Entry into the hotel
24:54 How has Sourabh been trading after frequent option premium spikes
26:29 Importance of using leverage at the right time
27:48 Why we need to look beyond expiry day trading and not fixate on it
30:35 Sourabh's risk management
32:17 Importance of un-learning things
33:56 Momentum trading and its application across different assets
34:29 Is Sourabh still using proprietary leverage?
35:17 Sourabh's positional sizing advice for new prop traders
38:26 Is Sourabh still trading iron condors?
38:39 How to manage overnight risk
39:28 How liquidity forces people to trade on expiry days
40:29 Did Sourabh ever try stock options?
41:01 Liquidity loss in trading Justdial options story
43:22 Did Sourabh keep on compounding his profits or withdrew it?
45:41 Sourabh and Praful share their personal finance practices and beliefs
48:22 Did Sourabh's family support him in his trading endeavour?
50:10 Does Sourabh find trading stressful sometimes?
52:23 Sourabh's workout and sleeping regime
54:15 Does Sourabh train the traders that work under him?
55:05 Importance of trend following 
56:55 How networking is essential for becoming a better trader
58:58 HPCL and BPCL pair-trading story
1:01:11 Why Praful purposely takes a small loss during winning streaks to destress himself
1:01:48 How Sourabh started with indicators and gradually found his trading edge 
1:05:16 India's option trading craze
1:06:58 Why did Sourabh buy an office for trading and how did it make it more enjoyable?
1:08:32 Sourabh's advice for new traders
1:11:34 Outro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If you have any concerns with respect to Groww, please feel free to write to us at support@groww.in or you can call us at +91 9108800000.</t>
  </si>
  <si>
    <t>https://i.ytimg.com/vi/ksv1_Otcp6w/hqdefault.jpg</t>
  </si>
  <si>
    <t>India’s Top Trader Aditya Pachwaria Reveals His Trading Strategy #TradingKiBaat</t>
  </si>
  <si>
    <t>https://www.youtube.com/watch?v=Za2O6B4mIik</t>
  </si>
  <si>
    <t>Za2O6B4mIik</t>
  </si>
  <si>
    <t>India’s Top Trader Aditya Pachwaria Reveals His Trading Strategy #TradingKiBaat
Trading Ki Baat Season 1- https://www.youtube.com/playlist?list=PLnn1F0U-9KimvGP2PsPecyG8rhB7UU2xS
0:00 Disclaimer
0:05 Intro
3:48 Aditya's journey
11:17 Two ways to handle risks
12:09 Example of position sizing(Straddle)
16:37 Example of hedging
19:39 Why is adjusting position sizing better than hedging?
22:44 BankNifty strategy 
27:54 Which strike prices to choose? (using Option Chain)
32:12 Ideal margin required for this strategy
36:37 Gap down scenario
39:20 Should we hedge it overnight?
43:17 How to compound your capital?
47:51 Advice for new traders
49:05 The holy grail formula of trading
51:32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If you have any concerns with respect to Groww, please feel free to write to us at support@groww.in or you can call us at +91 9108800000.</t>
  </si>
  <si>
    <t>https://i.ytimg.com/vi/Za2O6B4mIik/hqdefault.jpg</t>
  </si>
  <si>
    <t>Budget 2024 strategy!💰</t>
  </si>
  <si>
    <t>https://www.youtube.com/watch?v=Z3ExCCG7SU0</t>
  </si>
  <si>
    <t>Z3ExCCG7SU0</t>
  </si>
  <si>
    <t>Budget 2024 strategy!💰
0:00 Disclaimer
0:05 Introduction 
1:09 Historical reactions
7:29 Short straddle
8:50 Iron condor
9:10 Long straddle
11:49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June 7, 2024.
If you have any concerns with respect to Groww, please feel free to write to us at support@groww.in or you can call us at +91 9108800000.
Budget backtesting sheet - https://docs.google.com/spreadsheets/d/153PZBpNlgdbqY8vVvW5-2enckIG5X8jl/edit?usp=sharing&amp;ouid=117770683405868377121&amp;rtpof=true&amp;sd=true</t>
  </si>
  <si>
    <t>https://i.ytimg.com/vi/Z3ExCCG7SU0/hqdefault.jpg</t>
  </si>
  <si>
    <t>The anatomy of trading breakouts!🔬📈</t>
  </si>
  <si>
    <t>https://www.youtube.com/watch?v=GKy4FwdXGCU</t>
  </si>
  <si>
    <t>GKy4FwdXGCU</t>
  </si>
  <si>
    <t>The anatomy of trading breakouts!🔬📈
0:00 Disclaimer
0:05 Introduction
1:41 Normal breakout
5:36 Using triangles
8:17 Channels
10:58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June 18, 2024.
If you have any concerns with respect to Groww, please feel free to write to us at support@groww.in or you can call us at +91 9108800000.</t>
  </si>
  <si>
    <t>https://i.ytimg.com/vi/GKy4FwdXGCU/hqdefault.jpg</t>
  </si>
  <si>
    <t>Ultimate Chart Pattern Trading Course! 📉📈</t>
  </si>
  <si>
    <t>https://www.youtube.com/watch?v=3Cr54ye0FZ0</t>
  </si>
  <si>
    <t>3Cr54ye0FZ0</t>
  </si>
  <si>
    <t>Ultimate Chart Pattern Trading Course! 📉📈
0:00 Disclaimer
0:05 Introduction
0:50 What are patterns?
1:49 Double top and double bottom
6:47 Triple bottom
7:19 Head and shoulders(regular and inverted)
10:56 Flag and pole
12:36 Rounded bottom
13:36 Volatility contraction pattern(VCP)
15:09 Another triple top + triangle pattern example
16:49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https://twitter.com/TradeWithGroww_
Instagram: https://www.instagram.com/tradingwithgroww/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June 18, 2024.
If you have any concerns with respect to Groww, please feel free to write to us at support@groww.in or you can call us at +91 9108800000.</t>
  </si>
  <si>
    <t>https://i.ytimg.com/vi/3Cr54ye0FZ0/hqdefault.jpg</t>
  </si>
  <si>
    <t>How did this trader make 8-figure profit from trading? Ft. Piyush | Breakfast with Traders Ep.1</t>
  </si>
  <si>
    <t>https://www.youtube.com/watch?v=wjQMnMBsEgI</t>
  </si>
  <si>
    <t>wjQMnMBsEgI</t>
  </si>
  <si>
    <t>How did this trader make 8-figure profit from trading? Ft. Piyush Chaudhry | Breakfast with Traders Ep.1
0:00 Disclaimer
0:05 Introduction 
1:59 Meeting Piyush 
2:46 Piyush's entry into trading
5:13 Piyush's experience of the 2008 crash
6:46 Introspection of what went wrong 
7:34 Return expectancy in the markets
9:44 Trading: thrive or survive?
13:06 Why Piyush avoids news based trading?
14:51 Does Piyush consider himself a case of survivorship bias?
15:52 How long was Piyush in losses/ at breakeven?
17:08 How does having a close community of friends in trading help us? 
18:22 Initial capital Piyush started trading with:
19:55 Minimum capital required to make a living with trading
22:27 Did Piyush's lifestyle inflate with higher capital?
24:53 Most luxurious things owned by Piyush
26:40 Did self doubt ever arise in Piyush's mind?
28:01 How was Piyush's life outside trading affected by trading?
29:15 Piyush's tips for new aspiring traders
31:37 Signing off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</si>
  <si>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https://i.ytimg.com/vi/wjQMnMBsEgI/hqdefault.jpg</t>
  </si>
  <si>
    <t>TRADING DETOX! How and when to do it?🤔</t>
  </si>
  <si>
    <t>https://www.youtube.com/watch?v=UN1FNFq_R5c</t>
  </si>
  <si>
    <t>UN1FNFq_R5c</t>
  </si>
  <si>
    <t>TRADING DETOX! How and when to do it?🤔
#trading #stockmarket #tradingforbeginners #viral 
Twitter Handle - https://twitter.com/TradeWithGroww_
Instagram Handle - https://www.instagram.com/tradingwithgroww/
0:00 Disclaimer
0:05 Introduction
0:42 Revenge/ego trading
1:52 Why?
3:05 When?
4:19 My methods of detoxing
6:23 Conclusion
About Groww
Groww is India’s Best Investment App and the Largest Stock Broker.
Find us here:
Android app: https://app.groww.in/v3cO/f9o4prne
iOS app - https://app.groww.in/v3cO/tu0yrc3e
Website - https://groww.in/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June 12, 2024.</t>
  </si>
  <si>
    <t>https://i.ytimg.com/vi/UN1FNFq_R5c/hqdefault.jpg</t>
  </si>
  <si>
    <t>Forget Stop-losses: Master hedging today!📈</t>
  </si>
  <si>
    <t>https://www.youtube.com/watch?v=PnXT0BCUF4M</t>
  </si>
  <si>
    <t>PnXT0BCUF4M</t>
  </si>
  <si>
    <t>Forget Stop-losses: Master hedging today!📈 #trading #viral #stockmarket 
0:00 Disclaimer
0:05 Introduction
1:16 What is hedging?
3:05 Benefits of hedging:
3:19 Max loss
8:06 Margin
9:20 Injection
10:56 Spread
15:18 Option selling strategy
18:59 Summary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7th June,2024</t>
  </si>
  <si>
    <t>https://i.ytimg.com/vi/PnXT0BCUF4M/hqdefault.jpg</t>
  </si>
  <si>
    <t>OPTION SELLING: HIGH WINNING PROBABILITY vs UNLIMITED LOSSES 🤔</t>
  </si>
  <si>
    <t>https://www.youtube.com/watch?v=GdE5gY6nt9E</t>
  </si>
  <si>
    <t>GdE5gY6nt9E</t>
  </si>
  <si>
    <t>OPTION SELLING: HIGH WINNING PROBABILITY vs UNLIMITED LOSSES 🤔
#trading #optionstrading #optionselling #stockmarket 
0:00 Disclaimer
0:05 Introduction
0:59 What is option selling?
2:26 Examples of risk of ruin
5:55 Hidden costs associated
6:49 Complexity
7:21 Psychology
8:01 Volatility
8:39 Black Swan
9:28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30th May, 2024.</t>
  </si>
  <si>
    <t>https://i.ytimg.com/vi/GdE5gY6nt9E/hqdefault.jpg</t>
  </si>
  <si>
    <t>HOW TO TRADE ON ELECTION RESULT DAY? (June 4th) 🗳️📈</t>
  </si>
  <si>
    <t>https://www.youtube.com/watch?v=0pF6so9kgog</t>
  </si>
  <si>
    <t>0pF6so9kgog</t>
  </si>
  <si>
    <t>How to trade on Election result day?🗳️
#trading #stockmarket #tradingforbeginners #viral 
0:00 Disclaimer
0:05 Introduction
1:37 How market reacted to recent election results
3:29 Impact of PM's speech on PSU stocks
6:40 Which strategy to use?
8:35 May'19 example
9:27 Budget '24 example
10:06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28 May, 2024</t>
  </si>
  <si>
    <t>https://i.ytimg.com/vi/0pF6so9kgog/hqdefault.jpg</t>
  </si>
  <si>
    <t>How to make and maintain a trading journal?📝</t>
  </si>
  <si>
    <t>https://www.youtube.com/watch?v=675_QDc5eUw</t>
  </si>
  <si>
    <t>675_QDc5eUw</t>
  </si>
  <si>
    <t>How to make and maintain a trading journal?📝
#trading #stockmarket #tradingforbeginners #viral 
0:00 Disclaimer
0:05 Introduction
0:50 What is a trading journal?
1:49 Creating a journal
6:29 Trade review
10:49 Conclusion
Excel sheet -
https://docs.google.com/spreadsheets/d/1oausJGurX6LP_oe2KZ1SJgulp61Y_Ojh/edit?usp=sharing&amp;ouid=117770683405868377121&amp;rtpof=true&amp;sd=true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28 May, 2024</t>
  </si>
  <si>
    <t>https://i.ytimg.com/vi/675_QDc5eUw/hqdefault.jpg</t>
  </si>
  <si>
    <t>How to make profit in sideways market?💰</t>
  </si>
  <si>
    <t>https://www.youtube.com/watch?v=Zk6L_D2cMO8</t>
  </si>
  <si>
    <t>Zk6L_D2cMO8</t>
  </si>
  <si>
    <t>How to make profit in sideways market?
#trading #optionstrading #optionselling #stockmarket 
0:00 - Disclaimer
0:05 - Introduction
1:13 - Short Straddle
5:47 - RSI and Bollinger Bands strategy
13:02 -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25th May, 2024.</t>
  </si>
  <si>
    <t>https://i.ytimg.com/vi/Zk6L_D2cMO8/hqdefault.jpg</t>
  </si>
  <si>
    <t>How to create a Winning Trading System 📈</t>
  </si>
  <si>
    <t>https://www.youtube.com/watch?v=CYuVrI_LLB4</t>
  </si>
  <si>
    <t>CYuVrI_LLB4</t>
  </si>
  <si>
    <t>How to create a Winning Trading System 📈
#trading #stockmarket #tradingforbeginners #viral 
0:00-0:05 Disclaimer
0:05-0:18 Introduction
0:18-1:25 Importance of trading strategy
1:25-2:50 Choosing what is suitable for you
2:50-4:38 Understanding the market mechanics
4:38-5:12 Winning accuracy myth 
5:12-6:40 90% win-rate
6:40-8:12 10% win-rate
8:12-9:14 50% win-rate
9:14-11:29 Have a realistic expectation 
11:29-12:55 What to expect ideally 
12:55-16:22 Option buying example
16:22-18:29 Option selling example
18:29-21:11 Backtesting results
21:11-21:57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May 22, 2024</t>
  </si>
  <si>
    <t>https://i.ytimg.com/vi/CYuVrI_LLB4/hqdefault.jpg</t>
  </si>
  <si>
    <t>How to trade in Finnifty options | FINNIFTY OPTION BUYING STRATEGY  📈</t>
  </si>
  <si>
    <t>https://www.youtube.com/watch?v=W9xDft3OqCE</t>
  </si>
  <si>
    <t>W9xDft3OqCE</t>
  </si>
  <si>
    <t>FINNIFTY Option Buying Strategy | RSI Indicator 📈
#trading #optionstrading #finnifty #rsi 
0:00-1:01 Introduction
1:01-1:55 Prerequisites
1:55-4:32 Strategy
4:32-8:20 Example 1
8:20-9:54 Example 2
9:54-11:54 Example 3
11:54-13:28 Example 4
13:28-14:38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20th May, 2024.</t>
  </si>
  <si>
    <t>https://i.ytimg.com/vi/W9xDft3OqCE/hqdefault.jpg</t>
  </si>
  <si>
    <t>What are the strongest Fibonacci retracement levels? | FIBONACCI RETRACEMENT ADVANCED STRATEGY 📈</t>
  </si>
  <si>
    <t>https://www.youtube.com/watch?v=pF42AWtabFI</t>
  </si>
  <si>
    <t>pF42AWtabFI</t>
  </si>
  <si>
    <t>Fibonacci Retracement advanced strategy using Fractals 📈 for high risk-reward ratio trades 🙌
#trading #fibonacci #stockmarket 
0:00-0:05 Disclaimer
0:05-0:41 Introduction
0:41-1:51 Tools to use
1:51-3:28 What are fractals?
3:28-5:59 Problem with using Fibonacci retracement alone
5:59-7:08 Using fractals with Fibonacci retracement
7:08-9:40 Example 1
9:40-11:09 Example 2 
11:09-13:15 Example 3
13:15-14:10 Conclusion
Learn how to use Fibonacci Retracement and Fractals for high risk-reward ratio trades in this advanced trading strategy video. Perfect for traders looking to optimise their trading techniques!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May 17, 2024</t>
  </si>
  <si>
    <t>https://i.ytimg.com/vi/pF42AWtabFI/hqdefault.jpg</t>
  </si>
  <si>
    <t>HOW TO GROW A SMALL TRADING ACCOUNT? 📈</t>
  </si>
  <si>
    <t>https://www.youtube.com/watch?v=swDyLizs2jA</t>
  </si>
  <si>
    <t>swDyLizs2jA</t>
  </si>
  <si>
    <t>HOW TO GROW A SMALL TRADING ACCOUNT? 📈
#trading #stockmarket #viral #optionstrading 
0:00 - Disclaimer
0:05 - Introduction
0:42 - 2 facts about trading
1:31 - 4 trading terminologies
3:40 - Creating our own system
15:01 - Conclusion
Learn how to grow a small trading account in this video. Discover methods and strategies to help you increase your trading capital.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May 14, 2024</t>
  </si>
  <si>
    <t>https://i.ytimg.com/vi/swDyLizs2jA/hqdefault.jpg</t>
  </si>
  <si>
    <t>What should be the Trading Strategy until Election Results? 📈</t>
  </si>
  <si>
    <t>https://www.youtube.com/watch?v=nVLUy28FFa4</t>
  </si>
  <si>
    <t>nVLUy28FFa4</t>
  </si>
  <si>
    <t>What should be the Trading Strategy until Election Results? 📈
#trading #nifty #banknifty #viral #election2024 
0:00 - Disclaimer
0:05 - Introduction
1:12 - India Vix
2:08 - May 2019 example
3:16 - Short strangle
5:02 - Iron condor
9:13 -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May 8, 2024</t>
  </si>
  <si>
    <t>https://i.ytimg.com/vi/nVLUy28FFa4/hqdefault.jpg</t>
  </si>
  <si>
    <t>Previous day-high, day-low | Breakout Trading Strategy | TRADING MASTERCLASS Ep.3 📈</t>
  </si>
  <si>
    <t>https://www.youtube.com/watch?v=o4NbCAR5yHE</t>
  </si>
  <si>
    <t>o4NbCAR5yHE</t>
  </si>
  <si>
    <t>Previous day-high, day-low | Breakout Trading Strategy | TRADING MASTERCLASS Ep.3 📈
#trading #tradingforbeginners #stockmarket #viral #optionstrading 
Trading masterclass ep.1 - https://youtu.be/IlHrXTwR1Bw?si=Y3ACVDYh_m57W2D6
Trading masterclass ep.2 - https://youtu.be/hIZXQaumC7Y?si=XDWM5Tm9TM5eNSzO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Nataraj Malavade
Date: May 10, 2024</t>
  </si>
  <si>
    <t>https://i.ytimg.com/vi/o4NbCAR5yHE/hqdefault.jpg</t>
  </si>
  <si>
    <t>Advanced Price Action Trading explained! | Expert price action strategies 📈</t>
  </si>
  <si>
    <t>https://www.youtube.com/watch?v=HWJV5TiGxB4</t>
  </si>
  <si>
    <t>HWJV5TiGxB4</t>
  </si>
  <si>
    <t>Advanced Price Action Trading explained! | Expert price action strategies 📈
#trading #tradingforbeginners #stockmarket #optionstrading #viral #priceaction price action trading strategies
0:00 - Disclaimer
0:05 - Introduction
1:46 - How to mark support and resistance zones?
5:06 - Long example
7:45 - Shorting example
8:33 - Plotting zones and finding more entries
12:07 - Conclusion
About Groww
Groww is India’s Best Investment App and the Largest Stock Broker.
Find us here:
Android app: https://app.groww.in/v3cO/f9o4prne
iOS app - https://app.groww.in/v3cO/tu0yrc3e
Website - https://groww.in/
Learn advanced price action trading strategies in this video. Discover expert techniques to improve your trading skills and make informed decisions in the market.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May 8, 2024</t>
  </si>
  <si>
    <t>https://i.ytimg.com/vi/HWJV5TiGxB4/hqdefault.jpg</t>
  </si>
  <si>
    <t>Basics of Futures Trading | Complete guide to start Futures trading 📈</t>
  </si>
  <si>
    <t>https://www.youtube.com/watch?v=Mi2DWlR-rP0</t>
  </si>
  <si>
    <t>Mi2DWlR-rP0</t>
  </si>
  <si>
    <t>Basics of Futures Trading | Complete guide to start Futures trading 📈
#trading #tradingforbeginners #stockmarket #futurestrading 
If you're new to futures trading in the stock market, this video is for you! Learn all about the basics of futures trading and how to get started. Start futures trading like a pro!
Leverage, lot size and future strategies explained.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May 6, 2024</t>
  </si>
  <si>
    <t>https://i.ytimg.com/vi/Mi2DWlR-rP0/hqdefault.jpg</t>
  </si>
  <si>
    <t>BANKNIFTY Trading Masterclass Ep.2 | Banknifty components complete guide | F&amp;O strategies</t>
  </si>
  <si>
    <t>https://www.youtube.com/watch?v=hIZXQaumC7Y</t>
  </si>
  <si>
    <t>hIZXQaumC7Y</t>
  </si>
  <si>
    <t>BANKNIFTY Trading Masterclass Ep. 2 | Banknifty components complete guide | F&amp;O strategies #trading #tradingforbeginners #stockmarket #optionstrading #tradingstrategy #futurestrading #banknifty #bankniftyanalysis 
Trading masterclass ep.1 - https://youtu.be/IlHrXTwR1Bw?si=Y3ACVDYh_m57W2D6
Trading masterclass ep.3 - https://youtu.be/o4NbCAR5yHE?si=7MCbLIWne1eM9ks2
Learn about BankNIFTY trading in this masterclass, covering Bank Nifty components and F&amp;O strategies for Banknifty trading. Perfect for those interested in trading Banknifty!
Trading masterclass Ep.1 - https://youtu.be/IlHrXTwR1Bw?si=X-17c0i-B5ACfKOX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April 29, 2024</t>
  </si>
  <si>
    <t>https://i.ytimg.com/vi/hIZXQaumC7Y/hqdefault.jpg</t>
  </si>
  <si>
    <t>Elliott Wave Theory: Easy Ways to Predict Market Trends!</t>
  </si>
  <si>
    <t>https://www.youtube.com/watch?v=hCdUIzh9ymM</t>
  </si>
  <si>
    <t>hCdUIzh9ymM</t>
  </si>
  <si>
    <t>Elliott Wave Theory: Easy Ways to Predict Market Trends! #trading #tradingforbeginners #stockmarket #optionstrading #elliottwave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May 2, 2024</t>
  </si>
  <si>
    <t>https://i.ytimg.com/vi/hCdUIzh9ymM/hqdefault.jpg</t>
  </si>
  <si>
    <t>Option Buying decoded: Expiry day strategy for boosting your gains!</t>
  </si>
  <si>
    <t>https://www.youtube.com/watch?v=28FwoKVKxI0</t>
  </si>
  <si>
    <t>28FwoKVKxI0</t>
  </si>
  <si>
    <t>Option Buying decoded: Expiry day strategy for boosting your gains! #tradingforbeginners #trading #stockmarket #optionstrading #optiontrading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April 30, 2024</t>
  </si>
  <si>
    <t>https://i.ytimg.com/vi/28FwoKVKxI0/hqdefault.jpg</t>
  </si>
  <si>
    <t>Beginner’s guide to Scalping | Scalping Trading Strategies</t>
  </si>
  <si>
    <t>https://www.youtube.com/watch?v=yrmJE08FPoc</t>
  </si>
  <si>
    <t>yrmJE08FPoc</t>
  </si>
  <si>
    <t>Beginner’s guide to Scalping | Scalping Trading Strategies
#tradingforbeginners #trading #stockmarket #optionstrading #tradingstrategy #viral #scalping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April 13, 2024</t>
  </si>
  <si>
    <t>https://i.ytimg.com/vi/yrmJE08FPoc/hqdefault.jpg</t>
  </si>
  <si>
    <t>What are Stop-loss jumps? How to enter into trades at the right price? Options Trading for Beginners</t>
  </si>
  <si>
    <t>https://www.youtube.com/watch?v=2j-kB2H37yM</t>
  </si>
  <si>
    <t>2j-kB2H37yM</t>
  </si>
  <si>
    <t>What are Stop-loss jumps? How to enter into trades at the right price? Options Trading for Beginners
#tradingforbeginners #trading #stockmarket #optionstrading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April 24, 2024</t>
  </si>
  <si>
    <t>https://i.ytimg.com/vi/2j-kB2H37yM/hqdefault.jpg</t>
  </si>
  <si>
    <t>Beginner's Guide to Fibonacci Trading Strategy Using Fibonacci Retracement Tool</t>
  </si>
  <si>
    <t>https://www.youtube.com/watch?v=wP8_LAkDy24</t>
  </si>
  <si>
    <t>wP8_LAkDy24</t>
  </si>
  <si>
    <t>Beginner's Guide to Fibonacci Trading Strategy Using Fibonacci Retracement Tool #tradingforbeginners  #trading #stockmarket #fibonacci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April 15, 2024</t>
  </si>
  <si>
    <t>https://i.ytimg.com/vi/wP8_LAkDy24/hqdefault.jpg</t>
  </si>
  <si>
    <t>Stop losing in INTRADAY trading! Initial Balance Strategy | Trading Masterclass-1</t>
  </si>
  <si>
    <t>https://www.youtube.com/watch?v=IlHrXTwR1Bw</t>
  </si>
  <si>
    <t>IlHrXTwR1Bw</t>
  </si>
  <si>
    <t>Stop losing in INTRADAY Trading! Initial Balance Strategy | Trading Masterclass Ep.1
#tradingforbeginners #trading #stockmarket #intradaytrading #optionstrading #viral 
Learn how to beat trading indicators with this intraday initial balance strategy in our trading masterclass. Perfect for beginners and experienced traders alike!
Trading masterclass ep.2 - https://youtu.be/hIZXQaumC7Y?si=j8h6ZTWMQz-iq_h9
Trading masterclass ep.3 - https://youtu.be/o4NbCAR5yHE?si=7MCbLIWne1eM9ks2
0:00-1:30 Introduction 
1:30-3:50 Understanding Initial Balance 
3:50-4:18 Trading strategies based on IB range
4:18-11:54 Types of IB range 
11:54-14:46 How to trade small IB range
14:46-21:17 How to trade medium IB range 
21:17-24:02 How to trade large IB range 
24:02-29:50 Exit strategy
29:50-33:33 Risk Management and Position sizing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Nataraj Malavade
Date: April 19, 2024</t>
  </si>
  <si>
    <t>https://i.ytimg.com/vi/IlHrXTwR1Bw/hqdefault.jpg</t>
  </si>
  <si>
    <t>What is Top Down analysis in Trading? Do Global markets influence Indian markets?</t>
  </si>
  <si>
    <t>https://www.youtube.com/watch?v=PiLQA38vPX8</t>
  </si>
  <si>
    <t>PiLQA38vPX8</t>
  </si>
  <si>
    <t>What is Top Down analysis in Trading? Do Global markets influence Indian markets?
#tradingforbeginners #trading #stockmarket #optionstrading 
Discover what top-down analysis is in trading and how global markets can influence Indian markets. Learn how to use this technique to make informed trading decisions.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April 16, 2024</t>
  </si>
  <si>
    <t>https://i.ytimg.com/vi/PiLQA38vPX8/hqdefault.jpg</t>
  </si>
  <si>
    <t>Expiry Day Option Trading Mastery: Simple Strategies For Expiry Trading!</t>
  </si>
  <si>
    <t>https://www.youtube.com/watch?v=xKlik1dnVGg</t>
  </si>
  <si>
    <t>xKlik1dnVGg</t>
  </si>
  <si>
    <t>Expiry Day Trading Mastery: Simple Strategies For Expiry Trading!
#tradingforbeginners #trading #stockmarket #expirydaytrading 
Learn simple expiry day trading strategy that actually works! Master the art of trading on expiry day and make the most out of your trades.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April 9, 2024</t>
  </si>
  <si>
    <t>https://i.ytimg.com/vi/xKlik1dnVGg/hqdefault.jpg</t>
  </si>
  <si>
    <t>What are popular Option Trading Strategies| F&amp;O Trading for Beginners Ep.5</t>
  </si>
  <si>
    <t>https://www.youtube.com/watch?v=kxqJ4Jl96aw</t>
  </si>
  <si>
    <t>kxqJ4Jl96aw</t>
  </si>
  <si>
    <t>Option Trading Strategies | Option Buying &amp; Selling | Hedging | F&amp;O Trading for Beginners Ep.5 (Final chapter)
#optionstrading #tradingforbeginners #trading #stockmarket #tradingstrategy #hedging 
Learn about option trading strategies, including option buying, selling, and hedging in this video for beginners. Dive into the world of F&amp;O trading and start your journey to understanding advanced trading techniques!
0:00-0:34 Introduction
0:34-1:40 What are Trading strategies?
1:40-4:34 Strategy for slight bullish market
4:34-6:36 Strategy for strong bullish market
6:36-8:22 Bull call spread strategy
8:22-9:36 Bull put spread strategy
9:36-10:07 Summary of bullish strategies
10:07-10:44 Bearish trading strategies
10:44-11:24 Strategy for strong bearish market
11:24-12:12 Strategy for slight bearish market
12:12-13:40 Bear put spread strategy
13:40-14:26 Bear call spread strategy
14:26-16:21 Bearish butterfly strategy
16:21-16:56 Non-directional trading strategies
16:56-19:10 Short straddle and short strangle
19:10-22:23 Iron fly strategy
22:23-24:56 Summary
24:56-26:04 Outro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Aleena Rais, Aseem Singhal
Date: February 16, 2024</t>
  </si>
  <si>
    <t>https://i.ytimg.com/vi/kxqJ4Jl96aw/hqdefault.jpg</t>
  </si>
  <si>
    <t>How to use Heikin Ashi for better trading decisions? | Supertrend Heikin Ashi Strategy</t>
  </si>
  <si>
    <t>https://www.youtube.com/watch?v=XB4WdG3U06o</t>
  </si>
  <si>
    <t>XB4WdG3U06o</t>
  </si>
  <si>
    <t>How to use Heikin Ashi for better trading decisions? | Supertrend Heikin Ashi Strategy #tradingforbeginners #trading #stockmarket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April 6, 2024</t>
  </si>
  <si>
    <t>https://i.ytimg.com/vi/XB4WdG3U06o/hqdefault.jpg</t>
  </si>
  <si>
    <t>Weekly vs Monthly Expiry Options | Which one is better for you?</t>
  </si>
  <si>
    <t>https://www.youtube.com/watch?v=tBBWBWaNoqk</t>
  </si>
  <si>
    <t>tBBWBWaNoqk</t>
  </si>
  <si>
    <t>Weekly vs Monthly Expiry Options | Which one is better for you?
#tradingforbeginners #trading #stockmarket #optionstrading #tradingstrategy 
Trying to decide between weekly and monthly expiry options? In this video, we'll break down the differences and help you determine which one is better for your options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March 31, 2024</t>
  </si>
  <si>
    <t>https://i.ytimg.com/vi/tBBWBWaNoqk/hqdefault.jpg</t>
  </si>
  <si>
    <t>How do Option greeks work? | PCR | F&amp;O Trading for Beginners Ep.4</t>
  </si>
  <si>
    <t>https://www.youtube.com/watch?v=ArzvzkUEyU8</t>
  </si>
  <si>
    <t>ArzvzkUEyU8</t>
  </si>
  <si>
    <t>How to use Option greeks? | PCR | F&amp;O Trading for Beginners Ep.4
#tradingforbeginners #trading #stockmarket #optionstrading 
In this episode, learn how to use option greeks, PCR ratio, and open interest in F&amp;O trading! This video is perfect for beginners wanting to understand the basics of options trading.
0:00-0:44 Introduction
0:44-3:07 What are Option Greeks?
3:08-3:38 Types of option greeks
3:38-15:00 Delta
15:00-20:16 Theta (decay)
20:16-22:51 Vega
22:51-25:00 How is Vega different from VIX?
25:00-28:25 Gamma
28:25-29:13 Put-Call ratio
29:13-31:51 Open interest vs volume
31:51-34:35 PCR calculation to judge market trend
34:35-36:20 Outro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Aleena Rais, Aseem Singhal
Date: February 16, 2024</t>
  </si>
  <si>
    <t>https://i.ytimg.com/vi/ArzvzkUEyU8/hqdefault.jpg</t>
  </si>
  <si>
    <t>How to do Intraday Trading using Supertrend Indicator | Intraday Trading Masterclass</t>
  </si>
  <si>
    <t>https://www.youtube.com/watch?v=IZ4ytcFBCKg</t>
  </si>
  <si>
    <t>IZ4ytcFBCKg</t>
  </si>
  <si>
    <t>How to do Intraday Trading using Supertrend Indicator | Intraday Trading Masterclass
#tradingforbeginners #trading #stockmarket #intradaytrading 
Learn how to do successful intraday trading using the Supertrend Indicator with this masterclass. Discover the importance of risk management and maximise your profits!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April 2, 2024</t>
  </si>
  <si>
    <t>https://i.ytimg.com/vi/IZ4ytcFBCKg/hqdefault.jpg</t>
  </si>
  <si>
    <t>How to trade when markets are at All Time High?</t>
  </si>
  <si>
    <t>https://www.youtube.com/watch?v=W6s6kqIDZ1c</t>
  </si>
  <si>
    <t>W6s6kqIDZ1c</t>
  </si>
  <si>
    <t>How to trade when markets are at All Time High?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April 2, 2024
#tradingforbeginners #trading #stockmarket #optionstrading #tradingstrategy #technicalanalysis #viral #riskmanagement</t>
  </si>
  <si>
    <t>https://i.ytimg.com/vi/W6s6kqIDZ1c/hqdefault.jpg</t>
  </si>
  <si>
    <t>Option Buying vs Selling: Which is better? | Option Chain Analysis | F&amp;O Trading for Beginners Ep. 3</t>
  </si>
  <si>
    <t>https://www.youtube.com/watch?v=fdYFru-2Znk</t>
  </si>
  <si>
    <t>fdYFru-2Znk</t>
  </si>
  <si>
    <t>Option Buying vs Selling: Which is better? | Option Chain Analysis | F&amp;O Trading for Beginners Ep. 3
#tradingforbeginners #trading #stockmarket 
In this episode of our Futures and Options Trading for Beginners series, we'll explain option chain, differences between option buying and selling in a simple and easy-to-understand manner. If you're new to f&amp;o trading, this video will give you a basic understanding of how options work and what to consider before getting started. Stay tuned for more such episodes!
0:00-0:43 Introduction
0:44-5:34 Difference between option buyer and seller
5:34-6:26 Option buying vs selling
6:26-8:23 Unlimited risk in option selling?
8:23-10:24 Unlimited profit in option buying?
10:24-17:34 Margin requirements
17:34-21:32 Probabilities of winning
21:32-25:55 Is call buying and put selling same?
25:55-27:21 What is Option chain?
27:21-28:30 Outro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Aleena Rais, Aseem Singhal
Date: February 16, 2024
#tradingforbeginners #trading #stockmarket #optionstrading #tradingstrategy #technicalanalysis #indicators #viral</t>
  </si>
  <si>
    <t>https://i.ytimg.com/vi/fdYFru-2Znk/hqdefault.jpg</t>
  </si>
  <si>
    <t>Breakout Trading Strategy Explained | Stoploss Hunting | How To Identify False Breakouts?</t>
  </si>
  <si>
    <t>https://www.youtube.com/watch?v=RYRdDXa6TTw</t>
  </si>
  <si>
    <t>RYRdDXa6TTw</t>
  </si>
  <si>
    <t>Breakout Trading Strategy Explained | Stoploss Hunting | How To Identify False Breakouts? #tradingforbeginners #trading #stockmarket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March 22, 2024</t>
  </si>
  <si>
    <t>https://i.ytimg.com/vi/RYRdDXa6TTw/hqdefault.jpg</t>
  </si>
  <si>
    <t>How To Use NSE Data For Trading? | Option Chain | Trading For Beginners</t>
  </si>
  <si>
    <t>https://www.youtube.com/watch?v=6Zk2OiIpZxI</t>
  </si>
  <si>
    <t>6Zk2OiIpZxI</t>
  </si>
  <si>
    <t>How To Use NSE Data For Trading? | Option Chain |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March 26, 2024
#tradingforbeginners #trading #stockmarket</t>
  </si>
  <si>
    <t>https://i.ytimg.com/vi/6Zk2OiIpZxI/hqdefault.jpg</t>
  </si>
  <si>
    <t>How to start Options trading? | options trading for beginners | F&amp;O Trading For Beginners Ep. 2</t>
  </si>
  <si>
    <t>https://www.youtube.com/watch?v=QpPZvExtk7E</t>
  </si>
  <si>
    <t>QpPZvExtk7E</t>
  </si>
  <si>
    <t>How to start Options trading? | Strike Price Selection | F&amp;O Trading For Beginners Ep. 2 ft Aleena Rais and Aseem Singhal
About Groww
Groww is India’s Best Investment App and the Largest Stock Broker.
Find us here:
Android app: https://app.groww.in/v3cO/f9o4prne
iOS app - https://app.groww.in/v3cO/tu0yrc3e
Website - https://groww.in/
#stockmarket  #options #tradingforbeginners #optionstrading 
In this episode of our Futures and Options Trading for Beginners series, we'll explain nomenclature in Options trading, expiry date and types of options in a simple and easy-to-understand manner. If you're new to f&amp;o trading, this video will give you a basic understanding of how options work and what to consider before getting started. Stay tuned for more such episodes!
0:00-1:11 Introduction
1:11-2:56 Options nomenclature
2:56-6:43 Expiry date
6:43-8:00 Strike price
8:00-9:20 Call/Put options
9:20-16:02 Selecting the right strike price
16:02-21:38 Impact of expiry
21:38-21:53 Risk and reward
21:53-24:18 ATM, ITM &amp; OTM options
24:18-27:43 Extrinsic and Intrinsic values
27:43-31:49 Breakeven price calculation
31:49-32:48 Outro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Aleena Rais, Aseem Singhal
Date: February 16, 2024
#tradingforbeginners #trading #stockmarket #tradingstrategy #optionstrading #technicalanalysis #indicators #viral #options</t>
  </si>
  <si>
    <t>https://i.ytimg.com/vi/QpPZvExtk7E/hqdefault.jpg</t>
  </si>
  <si>
    <t>Should You Take Loan For Trading? | Trading Loan</t>
  </si>
  <si>
    <t>https://www.youtube.com/watch?v=JlpI_Nz9WWo</t>
  </si>
  <si>
    <t>JlpI_Nz9WWo</t>
  </si>
  <si>
    <t>Should You Take Loan For Trading? | Trading Loan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March 19, 2024
#tradingforbeginners #trading #stockmarket #tradingstrategy #optionstrading #technicalanalysis #futurestrading #indicators #viral</t>
  </si>
  <si>
    <t>https://i.ytimg.com/vi/JlpI_Nz9WWo/hqdefault.jpg</t>
  </si>
  <si>
    <t>What is Stop and Reverse Trading Strategy? | S.A.R using Supertrend Indicator</t>
  </si>
  <si>
    <t>https://www.youtube.com/watch?v=L0Pl2m_1phM</t>
  </si>
  <si>
    <t>L0Pl2m_1phM</t>
  </si>
  <si>
    <t>What is Stop and Reverse Trading Strategy? | S.A.R using Supertrend Indicator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March 17, 2024
#tradingforbeginners #trading #stockmarket #tradingstrategy #optionstrading #technicalanalysis #futurestrading #indicators #viral</t>
  </si>
  <si>
    <t>https://i.ytimg.com/vi/L0Pl2m_1phM/hqdefault.jpg</t>
  </si>
  <si>
    <t>What are futures and options? | How to trade in Futures? | F&amp;O Trading For Beginners in Hindi Ep.1</t>
  </si>
  <si>
    <t>https://www.youtube.com/watch?v=qLgfySlqtYA</t>
  </si>
  <si>
    <t>qLgfySlqtYA</t>
  </si>
  <si>
    <t>Futures and options explained | How to trade in Futures | Futures and Options Trading For Beginners Ep.1 ft Aleena Rais &amp; Aseem Singhal
0:00-1:23 Introduction
1:36-4:10 Difference between futures and stocks
4:10-8:43 What is Leverage?
8:43-10:49 Benefits of futures trading
10:49-12:55 Nomenclature in futures
12:55-17:01 M2M calculations
17:01-22:30 Risk management for futures
22:30-27:21 Futures strategies
27:21-31:40 What are Options?
31:40-33:28 Difference between Futures and Options
About Groww
Groww is India’s Best Investment App and the Largest Stock Broker.
Find us here:
Android app: https://app.groww.in/v3cO/f9o4prne
iOS app - https://app.groww.in/v3cO/tu0yrc3e
Website - https://groww.in/
In this first episode of our Futures and Options Trading for Beginners series, we'll explain what Futures and Options trading is, in a simple and easy-to-understand manner. If you're new to investing or trading, this video will give you a basic understanding of how futures and options work and what to consider before getting started. Stay tuned for more episodes on this topic!
#fno #sharemarket #tradingforbeginners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Aleena Rais, Aseem Singhal
Date: February 16, 2024
#f&amp;o #trading #beginners #tradingforbeginners #stockmarket #tradingstrategy #optionstrading #futurestrading #technicalanalysis #indicators #riskmanagement #viral</t>
  </si>
  <si>
    <t>https://i.ytimg.com/vi/qLgfySlqtYA/hqdefault.jpg</t>
  </si>
  <si>
    <t>5 Trading Indicators You Must Know | Trading Indicators For Beginners</t>
  </si>
  <si>
    <t>https://www.youtube.com/watch?v=vKapxhZCRUk</t>
  </si>
  <si>
    <t>vKapxhZCRUk</t>
  </si>
  <si>
    <t>5 Trading Indicators You Must Know | Trading Indicators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March 11, 2024
#tradingforbeginners #trading #stockmarket #tradingstrategy #optionstrading #futurestrading #technicalanalysis #indicators #riskmanagement</t>
  </si>
  <si>
    <t>https://i.ytimg.com/vi/vKapxhZCRUk/hqdefault.jpg</t>
  </si>
  <si>
    <t>Turtle Trading Strategy Explained | How To Identify Trends In Stock Market?</t>
  </si>
  <si>
    <t>https://www.youtube.com/watch?v=GUFFJRmtw5M</t>
  </si>
  <si>
    <t>GUFFJRmtw5M</t>
  </si>
  <si>
    <t>Turtle Trading Strategy Explained | How To Identify Trends In Stock 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March 4, 2024
#tradingforbeginners #stockmarket #trading #tradingstrategy #optionstrading #futurestrading #technicalanalysis #indicators #riskmanagement</t>
  </si>
  <si>
    <t>https://i.ytimg.com/vi/GUFFJRmtw5M/hqdefault.jpg</t>
  </si>
  <si>
    <t>Smart Money Concept | SMC Trading Strategy | BOS, ChoCh and Order Block</t>
  </si>
  <si>
    <t>https://www.youtube.com/watch?v=wPqEeSSf57s</t>
  </si>
  <si>
    <t>wPqEeSSf57s</t>
  </si>
  <si>
    <t>Smart Money Concept | SMC Trading Strategy | BOS, ChoCh and Order Block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March 5, 2024
#tradingforbeginners #stockmarket #trading #tradingstrategy #optionstrading #technicalanalysis #indicators #riskmanagement #viral #smc #smartmoney #smartmoneyconcepts</t>
  </si>
  <si>
    <t>https://i.ytimg.com/vi/wPqEeSSf57s/hqdefault.jpg</t>
  </si>
  <si>
    <t>How To Become a Profitable Swing Trader? Swing Trading For Beginners</t>
  </si>
  <si>
    <t>https://www.youtube.com/watch?v=t4HZodqK7_g</t>
  </si>
  <si>
    <t>t4HZodqK7_g</t>
  </si>
  <si>
    <t>How To Become a Profitable Swing Trader? Swing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March 1, 2024
#tradingforbeginners #stockmarket #trading</t>
  </si>
  <si>
    <t>https://i.ytimg.com/vi/t4HZodqK7_g/hqdefault.jpg</t>
  </si>
  <si>
    <t>How To Do Intraday Trading? | Intraday Trading For Beginners</t>
  </si>
  <si>
    <t>https://www.youtube.com/watch?v=3Z1aruvDe9g</t>
  </si>
  <si>
    <t>3Z1aruvDe9g</t>
  </si>
  <si>
    <t>How To Do Intraday Trading? | Intraday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March 4, 2024
About Groww
Groww is India’s Best Investment App and the Largest Stock Broker.
Find us here:
Android app: https://app.groww.in/v3cO/f9o4prne
iOS app - https://app.groww.in/v3cO/tu0yrc3e
Website - https://groww.in/
#tradingforbeginners #stockmarket #trading #optionstrading #tradingstrategy #tradingstrategy #technicalanalysis #futurestrading #riskmanagement #indicators</t>
  </si>
  <si>
    <t>https://i.ytimg.com/vi/3Z1aruvDe9g/hqdefault.jpg</t>
  </si>
  <si>
    <t>Safe Exit Now Live On Groww!</t>
  </si>
  <si>
    <t>https://www.youtube.com/watch?v=waDV4lb1qlY</t>
  </si>
  <si>
    <t>waDV4lb1qlY</t>
  </si>
  <si>
    <t>Safe Exit Now Live On Groww!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Date:</t>
  </si>
  <si>
    <t>https://i.ytimg.com/vi/waDV4lb1qlY/hqdefault.jpg</t>
  </si>
  <si>
    <t>What is Pledging of Shares? | Advantages &amp; Disadvantages of Pledging</t>
  </si>
  <si>
    <t>https://www.youtube.com/watch?v=mNuEHJNcHC8</t>
  </si>
  <si>
    <t>mNuEHJNcHC8</t>
  </si>
  <si>
    <t>What is Pledging of Shares? | Advantages &amp; Disadvantages of Pledging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January 18, 2024
#tradingforbeginners #stockmarket #trading #optionstrading #tradingstrategy #futurestrading #indicators #technicalanalysis</t>
  </si>
  <si>
    <t>https://i.ytimg.com/vi/mNuEHJNcHC8/hqdefault.jpg</t>
  </si>
  <si>
    <t>How to use ATR Indicator with Supertrend Indicator | ATR Indicator Strategy</t>
  </si>
  <si>
    <t>https://www.youtube.com/watch?v=THvnWpOZE8Q</t>
  </si>
  <si>
    <t>THvnWpOZE8Q</t>
  </si>
  <si>
    <t>How to use ATR Indicator with Supertrend Indicator | ATR Indicator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February 27, 2024
#tradingforbeginners #stockmarket #trading #optionstrading #tradingstrategy #indicators #technicalanalysis #futurestrading</t>
  </si>
  <si>
    <t>https://i.ytimg.com/vi/THvnWpOZE8Q/hqdefault.jpg</t>
  </si>
  <si>
    <t>How To Create and Backtest a Trading Strategy Using ChatGPT? | ChatGPT Trading Strategy</t>
  </si>
  <si>
    <t>https://www.youtube.com/watch?v=cqVp4vbPR7Y</t>
  </si>
  <si>
    <t>cqVp4vbPR7Y</t>
  </si>
  <si>
    <t>How To Create and Backtest a Trading Strategy Using ChatGPT? | ChatGPT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February 27, 2024
#tradingforbeginners #stockmarket #trading</t>
  </si>
  <si>
    <t>https://i.ytimg.com/vi/cqVp4vbPR7Y/hqdefault.jpg</t>
  </si>
  <si>
    <t>What is Trend Reversal and Trend Continuation Strategy? | MACD Indicator Strategy</t>
  </si>
  <si>
    <t>https://www.youtube.com/watch?v=XmRHFN1MbmU</t>
  </si>
  <si>
    <t>XmRHFN1MbmU</t>
  </si>
  <si>
    <t>What is Trend Reversal and Trend Continuation Strategy? | MACD Indicator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January 24, 2024
#tradingforbeginners #stockmarket #trading #optionstrading #tradingstrategy #indicators #technicalanalysis #futurestrading #riskmanagement #macdindicator</t>
  </si>
  <si>
    <t>https://i.ytimg.com/vi/XmRHFN1MbmU/hqdefault.jpg</t>
  </si>
  <si>
    <t>How To Select Momentum Stocks For Weekly Trades? | Momentum Stocks For Swing Trading</t>
  </si>
  <si>
    <t>https://www.youtube.com/watch?v=yE7JmUaTzH8</t>
  </si>
  <si>
    <t>yE7JmUaTzH8</t>
  </si>
  <si>
    <t>How To Select Momentum Stocks For Weekly Trades? | Momentum Stocks For Swing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January 23, 2024
#tradingforbeginners #stockmarket #trading #optionstrading #tradingstrategy #indicators #technicalanalysis #futurestrading</t>
  </si>
  <si>
    <t>https://i.ytimg.com/vi/yE7JmUaTzH8/hqdefault.jpg</t>
  </si>
  <si>
    <t>Should You Consider Trading as a Career? | Advantages and Disadvantages</t>
  </si>
  <si>
    <t>https://www.youtube.com/watch?v=etENnpC9Bm0</t>
  </si>
  <si>
    <t>etENnpC9Bm0</t>
  </si>
  <si>
    <t>Should You Consider Trading as a Career? | Advantages and Disadvantages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January 17, 2024
#tradingforbeginners #stockmarket #trading #optionstrading #tradingstrategy</t>
  </si>
  <si>
    <t>https://i.ytimg.com/vi/etENnpC9Bm0/hqdefault.jpg</t>
  </si>
  <si>
    <t>How To Trade On Budget Day | Budget Day Trading Strategy | Budget 2024</t>
  </si>
  <si>
    <t>https://www.youtube.com/watch?v=bTDgYEnilto</t>
  </si>
  <si>
    <t>bTDgYEnilto</t>
  </si>
  <si>
    <t>How To Trade On Budget Day | Budget Day Trading Strategy | Budget 2024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18th Jan, 2024
#budget #budget2024 #budgettrading</t>
  </si>
  <si>
    <t>https://i.ytimg.com/vi/bTDgYEnilto/hqdefault.jpg</t>
  </si>
  <si>
    <t>RSI + Supertrend Combo For Better Results | RSI Supertrend strategy</t>
  </si>
  <si>
    <t>https://www.youtube.com/watch?v=TEH7wh0VyrU</t>
  </si>
  <si>
    <t>TEH7wh0VyrU</t>
  </si>
  <si>
    <t>RSI + Supertrend Combo For Better Results | RSI Supertrend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January 11, 2024
#tradingforbeginners #trading #stockmarket #optionstrading #tradingstrategy #technicalanalysis #indicators #riskmanagement #futurestrading</t>
  </si>
  <si>
    <t>https://i.ytimg.com/vi/TEH7wh0VyrU/hqdefault.jpg</t>
  </si>
  <si>
    <t>Expiry Trading For Beginners | Expiry Day Option Trading Explained</t>
  </si>
  <si>
    <t>https://www.youtube.com/watch?v=s6ZmGksZoEI</t>
  </si>
  <si>
    <t>s6ZmGksZoEI</t>
  </si>
  <si>
    <t>Expiry Trading For Beginners | Expiry Day Option Trading Explained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January 8, 2023
#tradingforbeginners #trading #stockmarket #optionstrading #tradingstrategy #indicators #futurestrading</t>
  </si>
  <si>
    <t>https://i.ytimg.com/vi/s6ZmGksZoEI/hqdefault.jpg</t>
  </si>
  <si>
    <t>How To Use Bollinger Bands For Breakout Trades?</t>
  </si>
  <si>
    <t>https://www.youtube.com/watch?v=7UtOQeACGQ0</t>
  </si>
  <si>
    <t>7UtOQeACGQ0</t>
  </si>
  <si>
    <t>How To Use Bollinger Bands For Breakout Trades?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December 14, 2023
#tradingforbeginners #trading #stockmarket #optionstrading #tradingstrategy #technicalanalysis #bollingerbands</t>
  </si>
  <si>
    <t>https://i.ytimg.com/vi/7UtOQeACGQ0/hqdefault.jpg</t>
  </si>
  <si>
    <t>How To Trade In Futures and Options? | Futures and Options Explained</t>
  </si>
  <si>
    <t>https://www.youtube.com/watch?v=pFU7YBz9kVw</t>
  </si>
  <si>
    <t>pFU7YBz9kVw</t>
  </si>
  <si>
    <t>How To Trade In Futures and Options? | Futures and Options Explained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Arunima Rao, Saketh R.
Date: December 5, 2023
#tradingforbeginners #trading #stockmarket #optionstrading #tradingstrategy #technicalanalysis #indicators #futurestrading #riskmanagement</t>
  </si>
  <si>
    <t>https://i.ytimg.com/vi/pFU7YBz9kVw/hqdefault.jpg</t>
  </si>
  <si>
    <t>How To Select Stocks For Trading Every Week | Intraday Trading | Swing Trading</t>
  </si>
  <si>
    <t>https://www.youtube.com/watch?v=ZlDUqiSyozU</t>
  </si>
  <si>
    <t>ZlDUqiSyozU</t>
  </si>
  <si>
    <t>How To Select Stocks For Trading Every Week | Intraday Trading | Swing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December 26, 2023
#tradingforbeginners #trading #stockmarket #optionstrading</t>
  </si>
  <si>
    <t>https://i.ytimg.com/vi/ZlDUqiSyozU/hqdefault.jpg</t>
  </si>
  <si>
    <t>How to trail a Stop Loss? | Different Methods Explained</t>
  </si>
  <si>
    <t>https://www.youtube.com/watch?v=CVL_pYrkRpg</t>
  </si>
  <si>
    <t>CVL_pYrkRpg</t>
  </si>
  <si>
    <t>How To Trail a Stop Loss? | Different Methods Explained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December 29, 2023
#tradingforbeginners #trading #stockmarket #optionstrading #tradingstrategy #technicalanalysis #indicators #riskmanagement</t>
  </si>
  <si>
    <t>https://i.ytimg.com/vi/CVL_pYrkRpg/hqdefault.jpg</t>
  </si>
  <si>
    <t>Nifty Intraday Trading Strategy | Nifty Trading For Beginners</t>
  </si>
  <si>
    <t>https://www.youtube.com/watch?v=D8XBAo6YjKs</t>
  </si>
  <si>
    <t>D8XBAo6YjKs</t>
  </si>
  <si>
    <t>Nifty Intraday Trading Strategy | Nifty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January 1, 2024
#tradingforbeginners #trading #stockmarket #optionstrading #tradingstrategy</t>
  </si>
  <si>
    <t>https://i.ytimg.com/vi/D8XBAo6YjKs/hqdefault.jpg</t>
  </si>
  <si>
    <t>Paper Trading Advantages and Disadvantages | How To Paper Trade on TradingView</t>
  </si>
  <si>
    <t>https://www.youtube.com/watch?v=8l9DaiofDlA</t>
  </si>
  <si>
    <t>8l9DaiofDlA</t>
  </si>
  <si>
    <t>Paper Trading Advantages and Disadvantages | How To Paper Trade on TradingView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December 26, 2023
#tradingforbeginners #trading #stockmarket #optionstrading #tradingstrategy #technicalanalysis #indicators #riskmanagement #futurestrading</t>
  </si>
  <si>
    <t>https://i.ytimg.com/vi/8l9DaiofDlA/hqdefault.jpg</t>
  </si>
  <si>
    <t>Top 5 Indicators For Intraday Trading | Best Indicators For Intraday Trading</t>
  </si>
  <si>
    <t>https://www.youtube.com/watch?v=u9RIpN9ggvw</t>
  </si>
  <si>
    <t>u9RIpN9ggvw</t>
  </si>
  <si>
    <t>Top 5 Indicators For Intraday Trading | Best Indicators For Intraday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December 26, 2023
#trading #stockmarket #tradingforbeginners #optionstrading #tradingstrategy #technicalanalysis #indicators #chartpatterns</t>
  </si>
  <si>
    <t>https://i.ytimg.com/vi/u9RIpN9ggvw/hqdefault.jpg</t>
  </si>
  <si>
    <t>Bank Nifty Option Trading Strategy Explained | Which Option Strategy Is Best For Bank Nifty</t>
  </si>
  <si>
    <t>https://www.youtube.com/watch?v=cNX1uBhBTrY</t>
  </si>
  <si>
    <t>cNX1uBhBTrY</t>
  </si>
  <si>
    <t>Bank Nifty Option Trading Strategy Explained | Which Option Strategy Is Best For Bank Nifty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December 25, 2023
#trading #tradingforbeginners #stockmarket #optionstrading #tradingstrategy #technicalanalysis #riskmanagement #indicators</t>
  </si>
  <si>
    <t>https://i.ytimg.com/vi/cNX1uBhBTrY/hqdefault.jpg</t>
  </si>
  <si>
    <t>How To Use Supertrend Indicator | Super Trend Trading Strategy</t>
  </si>
  <si>
    <t>https://www.youtube.com/watch?v=YMrp5PFVvCQ</t>
  </si>
  <si>
    <t>YMrp5PFVvCQ</t>
  </si>
  <si>
    <t>How To Use Supertrend Indicator | Super Trend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December 20, 2023
#trading #stockmarket #tradingforbeginners #optionstrading #tradingstrategy #technicalanalysis #indicators #futurestrading</t>
  </si>
  <si>
    <t>https://i.ytimg.com/vi/YMrp5PFVvCQ/hqdefault.jpg</t>
  </si>
  <si>
    <t>What is Trading Psychology &amp; How To Master It? | How Can I Improve My Psychology in Trading?</t>
  </si>
  <si>
    <t>https://www.youtube.com/watch?v=SO1PEL52H2k</t>
  </si>
  <si>
    <t>SO1PEL52H2k</t>
  </si>
  <si>
    <t>What is Trading Psychology &amp; How To Master It? | How Can I Improve My Psychology in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Decemebr 18, 2023
#trading #tradingforbeginners #stockmarket #optionstrading #tradingstrategy #technicalanalysis #riskmanagement #futurestrading #indicators #tradingpsychology</t>
  </si>
  <si>
    <t>https://i.ytimg.com/vi/SO1PEL52H2k/hqdefault.jpg</t>
  </si>
  <si>
    <t>Is MACD a Good Indicator For Intraday Trading? | Best MACD Indicator Settings For Trading</t>
  </si>
  <si>
    <t>https://www.youtube.com/watch?v=-DGQrvMgyIo</t>
  </si>
  <si>
    <t>-DGQrvMgyIo</t>
  </si>
  <si>
    <t>Is MACD a Good Indicator For Intraday Trading? | Best MACD Indicator Settings For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December 18, 2023
#trading #stockmarket #tradingforbeginners #optionstrading #tradingstrategy #technicalanalysis #indicators</t>
  </si>
  <si>
    <t>https://i.ytimg.com/vi/-DGQrvMgyIo/hqdefault.jpg</t>
  </si>
  <si>
    <t>How To Use Best-Moving Averages For Intraday? What Is The Best Moving Average Trading Strategy?</t>
  </si>
  <si>
    <t>https://www.youtube.com/watch?v=82xNJb5LPhg</t>
  </si>
  <si>
    <t>82xNJb5LPhg</t>
  </si>
  <si>
    <t>How To Use Best-Moving Averages For Intraday? What Is The Best Moving Average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December 18, 2023
#trading #tradingforbeginners #stockmarket #optionstrading #tradingstrategy #riskmanagement #technicalanalysis #indicators</t>
  </si>
  <si>
    <t>https://i.ytimg.com/vi/82xNJb5LPhg/hqdefault.jpg</t>
  </si>
  <si>
    <t>How Do You Use The ATR Indicator In Intraday Trading? | Best ATR Settings For Target and Stoploss</t>
  </si>
  <si>
    <t>https://www.youtube.com/watch?v=P-3fNHODjMU</t>
  </si>
  <si>
    <t>P-3fNHODjMU</t>
  </si>
  <si>
    <t>How Do You Use The ATR Indicator In Intraday Trading? | Best ATR Settings For Target and Stoploss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December 12, 2023
#trading #stockmarket #tradingforbeginners #optionstrading #tradingstrategy #riskmanagement #technicalanalysis</t>
  </si>
  <si>
    <t>https://i.ytimg.com/vi/P-3fNHODjMU/hqdefault.jpg</t>
  </si>
  <si>
    <t>How To Become a PRO TRADER in 2024 | 5 Trading Rules To Become Profitable in 2024</t>
  </si>
  <si>
    <t>https://www.youtube.com/watch?v=H0OYZ7UZ6R4</t>
  </si>
  <si>
    <t>H0OYZ7UZ6R4</t>
  </si>
  <si>
    <t>How To Become a PRO TRADER in 2024 | 5 Trading Rules To Become Profitable in 2024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December 4, 2023
#trading #stockmarket #tradingforbeginners #tradingstrategy #optionstrading #technicalanalysis</t>
  </si>
  <si>
    <t>https://i.ytimg.com/vi/H0OYZ7UZ6R4/hqdefault.jpg</t>
  </si>
  <si>
    <t>Trading Psychology: How To Control Your Emotions | Trading For Beginner Masterclass Ep.6</t>
  </si>
  <si>
    <t>https://www.youtube.com/watch?v=Fi_-l3FHl9A</t>
  </si>
  <si>
    <t>Fi_-l3FHl9A</t>
  </si>
  <si>
    <t>Master Trading Psychology: How To Control Your Emotions | Trading For Beginner Masterclass Ep.6
You can watch the other episodes here:-
Ep.1- https://youtu.be/hVS6C_q00j8
Ep 2.- https://youtu.be/LbS31EAzghQ
Ep.3- https://youtu.be/eRi6sTfpBHg
Ep.4- https://youtu.be/eRi6sTfpBHg
Ep.5- https://youtu.be/MFEcaXFSa6I
0:00 Introduction
0:33 Psychology of trading
4:21 What is FOMO?
6:16 Overconfidence
7:02 What is revenge trading?
8:15 3 things to remember while starting to trade
13:14 Keep learning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Aleena Rais, Aseem Singhal
Date: September 25, 2023
#trading #stockmarket #tradingforbeginners #optionstrading #tradingstrategy #technicalanalysis #riskmanagement</t>
  </si>
  <si>
    <t>https://i.ytimg.com/vi/Fi_-l3FHl9A/hqdefault.jpg</t>
  </si>
  <si>
    <t>Why Should You Create a Rule Based Trading Strategy | Ab India Karega Invest with Aseem Singhal</t>
  </si>
  <si>
    <t>https://www.youtube.com/watch?v=SCSVOHuHPU4</t>
  </si>
  <si>
    <t>SCSVOHuHPU4</t>
  </si>
  <si>
    <t>Why Should You Create a Rule Based Trading Strategy | Ab India Karega Invest with Aseem Singhal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22, 2023
#trading #tradingforbeginners #stockmarket #optionstrading #rulebasedtrading</t>
  </si>
  <si>
    <t>https://i.ytimg.com/vi/SCSVOHuHPU4/hqdefault.jpg</t>
  </si>
  <si>
    <t>How To Trade Futures | Futures Trading For Beginners</t>
  </si>
  <si>
    <t>https://www.youtube.com/watch?v=cUH9Gl1eCBY</t>
  </si>
  <si>
    <t>cUH9Gl1eCBY</t>
  </si>
  <si>
    <t>How To Trade Futures | Futures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December 8, 2023
#trading #stockmarket #tradingforbeginners #tradingstrategy #technicalanalysis #futurestrading</t>
  </si>
  <si>
    <t>https://i.ytimg.com/vi/cUH9Gl1eCBY/hqdefault.jpg</t>
  </si>
  <si>
    <t>How To Recover From Trading Loss? | Trading Psychology | Trading For Beginners</t>
  </si>
  <si>
    <t>https://www.youtube.com/watch?v=w0MHBnIGTUQ</t>
  </si>
  <si>
    <t>w0MHBnIGTUQ</t>
  </si>
  <si>
    <t>How To Recover From Trading Loss? | Trading Psychology |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November 20, 2023
#trading #stockmarket #optionstrading #tradingforbeginners #tradingstrategy #technicalanalysis #riskmanagement</t>
  </si>
  <si>
    <t>https://i.ytimg.com/vi/w0MHBnIGTUQ/hqdefault.jpg</t>
  </si>
  <si>
    <t>Best Trading Strategies Explained | Price Action, RSI, Bollinger Bands | Trading For Beginners Ep.5</t>
  </si>
  <si>
    <t>https://www.youtube.com/watch?v=MFEcaXFSa6I</t>
  </si>
  <si>
    <t>MFEcaXFSa6I</t>
  </si>
  <si>
    <t>Best Trading Strategies Explained | Price Action, RSI, Bollinger Bands | Trading For Beginners Ep.5
You can watch the other episodes here:-
Ep.1- https://youtu.be/hVS6C_q00j8
Ep 2.- https://youtu.be/LbS31EAzghQ
Ep.3- https://youtu.be/eRi6sTfpBHg
Ep.4- https://youtu.be/eRi6sTfpBHg
Ep.6- https://youtu.be/Fi_-l3FHl9A
0:00 Introduction
1:46 Open=high, open=low strategy
12:39 Opening range breakout strategy
16:19 NR7 strategy
24:26 Indicator-based strategies
24:50 RSI divergence
27:27 How to manage risk?
35:15 Bollinger bands indicator
37:34 Volume indicator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Aleena Rais
Date: September 25, 2023
#trading #stockmarket #tradingforbeginners #optionstrading #technicalanalysis #tradingstrategy #riskmanagement #bollingerbands #priceaction #indicators</t>
  </si>
  <si>
    <t>https://i.ytimg.com/vi/MFEcaXFSa6I/hqdefault.jpg</t>
  </si>
  <si>
    <t>How To Start Options Trading | Options Trading For Beginners</t>
  </si>
  <si>
    <t>https://www.youtube.com/watch?v=hvkclBKE4c0</t>
  </si>
  <si>
    <t>hvkclBKE4c0</t>
  </si>
  <si>
    <t>How To Start Options Trading | Options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December 2, 2023
#trading #stockmarket #tradingforbeginners #optionstrading #technicalanalysis #tradingstrategy</t>
  </si>
  <si>
    <t>https://i.ytimg.com/vi/hvkclBKE4c0/hqdefault.jpg</t>
  </si>
  <si>
    <t>How To Buy Stocks At Low Price | Option Wheel Strategy Explained</t>
  </si>
  <si>
    <t>https://www.youtube.com/watch?v=XtakSVxEbPc</t>
  </si>
  <si>
    <t>XtakSVxEbPc</t>
  </si>
  <si>
    <t>How To Buy Stocks At Low Price | Option Wheel Strategy Explained
About Groww
Groww is India’s Best Investment App and the Largest Stock Broker.
Find us here:
Android app: https://app.groww.in/v3cO/f9o4prne
iOS app - https://app.groww.in/v3cO/tu0yrc3e
Website - https://groww.in/
trading | trading for beginners | trading for beginners in hindi | technical analysis | options trading | options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November 14, 2023
#trading #stockmarket #tradingforbeginners #optionstrading</t>
  </si>
  <si>
    <t>https://i.ytimg.com/vi/XtakSVxEbPc/hqdefault.jpg</t>
  </si>
  <si>
    <t>How To Find Reversal In Trading? | Overbought and Oversold Zones | RSI Trading Strategy</t>
  </si>
  <si>
    <t>https://www.youtube.com/watch?v=WUsMUmE-j1E</t>
  </si>
  <si>
    <t>WUsMUmE-j1E</t>
  </si>
  <si>
    <t>How To Find Reversal In Trading? | Overbought and Oversold Zones | RSI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November 3, 2023
#trading #stockmarket #rsitradingstrategy</t>
  </si>
  <si>
    <t>https://i.ytimg.com/vi/WUsMUmE-j1E/hqdefault.jpg</t>
  </si>
  <si>
    <t>How to avoid loss in trading | Risk Management Trading| Trading For Beginners Masterclass Ep.4</t>
  </si>
  <si>
    <t>https://www.youtube.com/watch?v=6Cj8Ufssgnw</t>
  </si>
  <si>
    <t>6Cj8Ufssgnw</t>
  </si>
  <si>
    <t>How To Master Risk Management In Trading? | Trading For Beginners Masterclass Ep.4
You can watch the other episodes here:-
Ep 1 :- https://youtu.be/hVS6C_q00j8
Ep 2.- https://youtu.be/LbS31EAzghQ
Ep.3- https://youtu.be/eRi6sTfpBHg
Ep.5- https://youtu.be/MFEcaXFSa6I
Ep.6- https://youtu.be/Fi_-l3FHl9A
In this video, we're going to be looking at risk management in trading. Risk management is an important part of trading and it's important to be familiar with the different types of risk that you face when trading. We're also going to be talking about trading psychology, which is an important part of trading success.
If you're new to trading, then this is a video that you need to watch. In it, we'll be discussing risk management, trading psychology, and the different types of risk that you face when trading. We'll also be giving you some tips on how to improve your trading skills. So take a look and let us know what you think!
0:00 Introduction
1:06 Risk management
4:18 How many shares should you buy?
8:36 Deciding position size based on risk
12:02 Risk and reward
15:06 Trailing stoploss
About Groww
Groww is India’s Best Investment App and the Largest Stock Broker.
Find us here:
Android app: https://app.groww.in/v3cO/f9o4prne
iOS app - https://app.groww.in/v3cO/tu0yrc3e
Website - https://groww.in/
#riskmanagement #tradingforbeginners #trading#hindi #groww #tradingloss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Aleena Rais
Date: September 25, 2023
#trading #stockmarket #indicators #tradingforbeginners #technicalanalysis #tradingforbeginnersinhindi #riskmanagement</t>
  </si>
  <si>
    <t>https://i.ytimg.com/vi/6Cj8Ufssgnw/hqdefault.jpg</t>
  </si>
  <si>
    <t>How To Trade Futures Using Range Breakouts? | Futures Trading For Beginners</t>
  </si>
  <si>
    <t>https://www.youtube.com/watch?v=IrjyPi8P-Ao</t>
  </si>
  <si>
    <t>IrjyPi8P-Ao</t>
  </si>
  <si>
    <t>How To Trade Futures Using Range Breakouts? | Futures Trading For Beginners
trading for beginners | futures trading | futures trading for beginners | technical analysis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November 24, 2023
#trading #tradingforbeginners #stockmarket #technicalanalysis #futurestrading</t>
  </si>
  <si>
    <t>https://i.ytimg.com/vi/IrjyPi8P-Ao/hqdefault.jpg</t>
  </si>
  <si>
    <t>How To Use Donchian Channel Indicator? | Donchian Channel Strategy In Hindi</t>
  </si>
  <si>
    <t>https://www.youtube.com/watch?v=2KtDhrDNFjs</t>
  </si>
  <si>
    <t>2KtDhrDNFjs</t>
  </si>
  <si>
    <t>How To Use Donchian Channel Indicator? | Donchian Channel Strategy In Hindi
trading for beginners | options trading | trading for beginners in hindi | trading | intraday trading |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November 20, 2023
#trading #stockmarket #tradingforbeginners #optionstrading #technicalanalysis #tradingstrategy</t>
  </si>
  <si>
    <t>https://i.ytimg.com/vi/2KtDhrDNFjs/hqdefault.jpg</t>
  </si>
  <si>
    <t>What Is Swing Trading? | Swing Trading Masterclass For Beginners</t>
  </si>
  <si>
    <t>https://www.youtube.com/watch?v=reujbgenfMo</t>
  </si>
  <si>
    <t>reujbgenfMo</t>
  </si>
  <si>
    <t>What Is Swing Trading? | Swing Trading Masterclass For Beginners
About Groww
Groww is India’s Best Investment App and the Largest Stock Broker.
Find us here:
Android app: https://app.groww.in/v3cO/f9o4prne
iOS app - https://app.groww.in/v3cO/tu0yrc3e
Website - https://groww.in/
swing trading kya hai | trading for beginners | options trading | options trading for beginners | technical analysis in hindi | trading for beginners in hindi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November 8, 2023
#trading #stockmarket #tradingforbeginners #optionstrading #technicalanalysis #swingtrade</t>
  </si>
  <si>
    <t>https://i.ytimg.com/vi/reujbgenfMo/hqdefault.jpg</t>
  </si>
  <si>
    <t>How to use Indicators &amp; Chart Patterns in trading | Trading for Beginners Masterclass | EP03</t>
  </si>
  <si>
    <t>https://www.youtube.com/watch?v=eRi6sTfpBHg</t>
  </si>
  <si>
    <t>eRi6sTfpBHg</t>
  </si>
  <si>
    <t>How to use Chart Patterns and Indicators | Trading for Beginners in Hindi | EP03
#trading #indicators #tradingforbeginners #technicalanalysis #tradingforbeginnersinhindi #chartpatterns 
You can watch the other episodes here:-
Ep 1 :- https://youtu.be/hVS6C_q00j8
Ep 2.- https://youtu.be/LbS31EAzghQ
Ep.4- https://youtu.be/eRi6sTfpBHg
Ep.5- https://youtu.be/MFEcaXFSa6I
Ep.6- https://youtu.be/Fi_-l3FHl9A
0:00 Introduction
1:14 Charts and candlesticks
4:08 Double top and double bottom pattern
14:47 Triple top and triple bottom pattern
20:31 Head and shoulders pattern
26:00 Triangle pattern
31:13 Indicators
33:02 Moving averages crossover
40:26 How do you find out the stocks?
41:32 RSI indicator
45:13 Supertrend indicator
50:52 RSI for reversal
Dive into the world of trading with our comprehensive guide in Hindi! This video covers essential principles for beginners, breaking down the basics of trading and providing insights into chart patterns and indicators. Whether you're new to the market or looking to enhance your skills, this video is your gateway to understanding the fundamentals of trading and mastering the art of chart patterns and indicators.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viewers should research before investing.
Also, our viewers should remember that trading in securities and derivatives can be risky, and most people may lose money in such trades. While we would love to educate you about trading, we don't promote or recommend engaging in such high-risk products.
Research Analyst Disclaimer: https://groww.in/p/sebi-research-analyst-regulations
Name of the RA: Aakash Baid
Name of the narrator: Aseem Singhal, Aleena Rais
Date: September 25, 2023
About Groww
Groww is India’s Best Investment App and the Largest Stock Broker.
Find us here:
Android app: https://app.groww.in/v3cO/f9o4prne
iOS app - https://app.groww.in/v3cO/tu0yrc3e
Website - https://groww.in/</t>
  </si>
  <si>
    <t>https://i.ytimg.com/vi/eRi6sTfpBHg/hqdefault.jpg</t>
  </si>
  <si>
    <t>How To Use TradingView? | Complete TradingView Tutorial</t>
  </si>
  <si>
    <t>https://www.youtube.com/watch?v=t5lwfJB-s8g</t>
  </si>
  <si>
    <t>t5lwfJB-s8g</t>
  </si>
  <si>
    <t>How To Use TradingView? | Complete TradingView Tutorial
trading | trading for beginners | options trading for beginners | trading live | intraday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November 18, 2023
#trading #stockmarket #tradingview #trader #optionstrading #tradingforbeginners #tradingstrategy</t>
  </si>
  <si>
    <t>https://i.ytimg.com/vi/t5lwfJB-s8g/hqdefault.jpg</t>
  </si>
  <si>
    <t>Top 5 Charts In Trading | Different Types of Charts In Trading Explained!</t>
  </si>
  <si>
    <t>https://www.youtube.com/watch?v=5GNLY5Y2Td0</t>
  </si>
  <si>
    <t>5GNLY5Y2Td0</t>
  </si>
  <si>
    <t>Top 5 Charts In Trading | Different Types of Charts In Trading Explained!
About Groww
Groww is India’s Best Investment App and the Largest Stock Broker.
Find us here:
Android app: https://app.groww.in/v3cO/f9o4prne
iOS app - https://app.groww.in/v3cO/tu0yrc3e
Website - https://groww.in/
trading for beginners | trading | trading live | trading strategy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November 13, 2023
#trading #stockmarket #tradingcharts #tradingforbeginners #technicalanalysis trading for beginners</t>
  </si>
  <si>
    <t>https://i.ytimg.com/vi/5GNLY5Y2Td0/hqdefault.jpg</t>
  </si>
  <si>
    <t>3 Most Useful Websites For Trading | Best Websites For Indian Traders</t>
  </si>
  <si>
    <t>https://www.youtube.com/watch?v=YaBrxDlp3SE</t>
  </si>
  <si>
    <t>YaBrxDlp3SE</t>
  </si>
  <si>
    <t>3 Most Useful Websites For Trading | Best Websites For Indian Traders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8, 2023
#trading #stockmarket #tradingforbeginners</t>
  </si>
  <si>
    <t>https://i.ytimg.com/vi/YaBrxDlp3SE/hqdefault.jpg</t>
  </si>
  <si>
    <t>How to do technical analysis of stocks? | Trading For Beginners Masterclass Ep. 2</t>
  </si>
  <si>
    <t>https://www.youtube.com/watch?v=LbS31EAzghQ</t>
  </si>
  <si>
    <t>LbS31EAzghQ</t>
  </si>
  <si>
    <t>Technical analysis free course for beginners | Technical analysis in Hindi Masterclass ft Aleena Rais &amp; Aseem Singhal
Technical analysis is a way of analyzing stock market data to help you make informed investment decisions. In this Trading For Beginners Masterclass episode, we'll discuss the basics of technical analysis and how it can help you make better investment decisions. So if you're new to the stock market or you've been trading for a while and want to learn more about technical analysis in Hindi, be sure to watch this episode!
You can watch the other episodes here:-
Ep 1 :- https://youtu.be/hVS6C_q00j8
Ep.3- https://youtu.be/eRi6sTfpBHg
Ep.4- https://youtu.be/eRi6sTfpBHg
Ep.5- https://youtu.be/MFEcaXFSa6I
Ep.6- https://youtu.be/Fi_-l3FHl9A
0:00 Introduction 
1:45 What is technical analysis?
3:04 What are charts?
5:03 Candle chart
5:20 Concept of timeframe
5:59 Candle explained
10:13 Line chart
11:37 Heikin Ashi chart
14:50 Time-frame concept
19:18 What are candlestick patterns?
20:36 Marubozu candlestick pattern
27:28 Doji candlestick pattern
32:10 Hammer candlestick pattern
37:42 Engulfing candlestick pattern
41:33 Bullish &amp; bearish harami candlestick pattern
43:30 Morning and evening star candlestick patterns
About Groww
Groww is India’s Best Investment App and the Largest Stock Broker.
Find us here:
Android app: https://app.groww.in/v3cO/f9o4prne
iOS app - https://app.groww.in/v3cO/tu0yrc3e
Website - https://groww.in/
#technicalanalysis #stockmarket #trading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About Groww
Groww is India’s Best Investment App and the Largest Stock Broker.
Find us here:
Android app: https://app.groww.in/v3cO/f9o4prne
iOS app - https://app.groww.in/v3cO/tu0yrc3e
Website - https://groww.in/
Name of the RA: Aakash Baid
Name of the narrator: Aleena Rais, Aseem Singhal
Date: September 25, 2023
#trading #stockmarket #tradingforbeginners #technicalanalysis #tradingforbeginnersinhindi</t>
  </si>
  <si>
    <t>https://i.ytimg.com/vi/LbS31EAzghQ/hqdefault.jpg</t>
  </si>
  <si>
    <t>5 Steps To Improve Your Intraday Trading Strategies | Master Trading Psychology</t>
  </si>
  <si>
    <t>https://www.youtube.com/watch?v=2BK_s5PWdjU</t>
  </si>
  <si>
    <t>2BK_s5PWdjU</t>
  </si>
  <si>
    <t>5 Steps To Improve Your Intraday Trading Strategies | Master Trading Psychology
About Groww
Groww is India’s Best Investment App and the Largest Stock Broker.
Find us here:
Android app: https://app.groww.in/v3cO/f9o4prne
iOS app - https://app.groww.in/v3cO/tu0yrc3e
Website - https://groww.in/
How to improve intraday trading? Trading psychology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November 9, 2023
#trading #stockmarket #intradaytrading</t>
  </si>
  <si>
    <t>https://i.ytimg.com/vi/2BK_s5PWdjU/hqdefault.jpg</t>
  </si>
  <si>
    <t>How Do You Use Pivot Point Standard Indicator? | Trending and Reversal Strategies</t>
  </si>
  <si>
    <t>https://www.youtube.com/watch?v=FWw4EmW0dWw</t>
  </si>
  <si>
    <t>FWw4EmW0dWw</t>
  </si>
  <si>
    <t>How Do You Use Pivot Point Standard Indicator? | Trending and Reversal Strategies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October 30, 2023
#trading #stockmarket #pivotpoints</t>
  </si>
  <si>
    <t>https://i.ytimg.com/vi/FWw4EmW0dWw/hqdefault.jpg</t>
  </si>
  <si>
    <t>Top 4 Trading Books You Must Read ! | Trading For Beginners</t>
  </si>
  <si>
    <t>https://www.youtube.com/watch?v=tIdjgt-2IGw</t>
  </si>
  <si>
    <t>tIdjgt-2IGw</t>
  </si>
  <si>
    <t>Top 4 Trading Books You Must Read ! |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8, 2023
#trading #stockmarket #tradingbooks</t>
  </si>
  <si>
    <t>https://i.ytimg.com/vi/tIdjgt-2IGw/hqdefault.jpg</t>
  </si>
  <si>
    <t>How to start Trading? | Trading for Beginners Masterclass in Hindi - Episode 1</t>
  </si>
  <si>
    <t>https://www.youtube.com/watch?v=hVS6C_q00j8</t>
  </si>
  <si>
    <t>hVS6C_q00j8</t>
  </si>
  <si>
    <t>How to Start Trading | Trading For Beginners in Hindi Masterclass - Episode 1
How to do technical analysis of stocks: https://youtu.be/LbS31EAzghQ
Ep.3- https://youtu.be/eRi6sTfpBHg
Ep.4- https://youtu.be/eRi6sTfpBHg
Ep.5- https://youtu.be/MFEcaXFSa6I
Ep.6- https://youtu.be/Fi_-l3FHl9A
0:00 Introduction 
2:25 What is Trading?
6:52 Different types of trading
9:14 Why should we trade?
10:51 How much capital is adequate to start trading?
14:14 What are asset classes?
15:36 Who is a broker?
20:51 What are bear and bull markets?
27:31 What is margin?
31:46 How to place different orders?
41:23 What is bid-ask?
46:16 How to actually earn the profit?
About Groww
Groww is India’s Best Investment App and the Largest Stock Broker.
Find us here:
Android app: https://app.groww.in/v3cO/f9o4prne
iOS app - https://app.groww.in/v3cO/tu0yrc3e
Website - https://groww.in/
#tradingforbeginners #trading #tradingforbeginnershindi
Many people have been investing for quite some time and want to learn about trading. But they don't know where to start. To address this, we have created a 6 video series where we will be covering the basics of trading, what trading is, how to do it, and many more questions will be answered by the end of the series. 
We will be releasing a video every Saturday at 6.30pm!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About Groww
Groww is India’s Best Investment App and the Largest Stock Broker.
Find us here:
Android app: https://app.groww.in/v3cO/f9o4prne
iOS app - https://app.groww.in/v3cO/tu0yrc3e
Website - https://groww.in/
Name of the RA: Aakash Baid
Name of the narrator: Aleena Rais, Aseem Singhal
Date: September 25, 2023
#trading #stockmarket #tradingforbeginners</t>
  </si>
  <si>
    <t>https://i.ytimg.com/vi/hVS6C_q00j8/hqdefault.jpg</t>
  </si>
  <si>
    <t>How To Improve Trading Accuracy? | Trading Strategies To Increase Profitability</t>
  </si>
  <si>
    <t>https://www.youtube.com/watch?v=ofjnnEyDJF8</t>
  </si>
  <si>
    <t>ofjnnEyDJF8</t>
  </si>
  <si>
    <t>How To Improve Trading Accuracy? | Trading Strategies To Increase Profitability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November 2, 2023
#trading #stockmarket #tradingstrategy #tradingforbeginners</t>
  </si>
  <si>
    <t>https://i.ytimg.com/vi/ofjnnEyDJF8/hqdefault.jpg</t>
  </si>
  <si>
    <t>What Is Volume In Trading? | How To Avoid False Breakout?</t>
  </si>
  <si>
    <t>https://www.youtube.com/watch?v=hBtLBd9ZHvU</t>
  </si>
  <si>
    <t>hBtLBd9ZHvU</t>
  </si>
  <si>
    <t>What Is Volume In Trading? | How To Avoid False Breakout?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October 29, 2023
#trading #stockmarket #volumetrading</t>
  </si>
  <si>
    <t>https://i.ytimg.com/vi/hBtLBd9ZHvU/hqdefault.jpg</t>
  </si>
  <si>
    <t>How To Select Stocks For Intraday Trading? | Trading For Beginners</t>
  </si>
  <si>
    <t>https://www.youtube.com/watch?v=6OgdWgWl2YQ</t>
  </si>
  <si>
    <t>6OgdWgWl2YQ</t>
  </si>
  <si>
    <t>How To Select Stocks For Intraday Trading? | Trading For Beginners
0:00 Disclaimer
0:05 Introduction
0:42 5 methods to find stocks:
1:00 Liquidity
1:37 Top gainers and top losers
3:02 Gap-up stocks
5:06 52 week high breakout stocks
7:31 Open low and open high strategy
9:43 Conclusion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29, 2023
About Groww
Groww is India’s Best Investment App and the Largest Stock Broker.
Find us here:
Android app: https://app.groww.in/v3cO/f9o4prne
iOS app - https://app.groww.in/v3cO/tu0yrc3e
Website - https://groww.in/
#trading #stockmarket #stockselection</t>
  </si>
  <si>
    <t>https://i.ytimg.com/vi/6OgdWgWl2YQ/hqdefault.jpg</t>
  </si>
  <si>
    <t>What Is Hedging and How Does It Work? Best Hedging Strategies For Beginners</t>
  </si>
  <si>
    <t>https://www.youtube.com/watch?v=ZV5p1TELQ04</t>
  </si>
  <si>
    <t>ZV5p1TELQ04</t>
  </si>
  <si>
    <t>What Is Hedging and How Does It Work? Best Hedging Strategies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25, 2023
#trading #stockmarket #hedging</t>
  </si>
  <si>
    <t>https://i.ytimg.com/vi/ZV5p1TELQ04/hqdefault.jpg</t>
  </si>
  <si>
    <t>Top 5 Chart Patterns In Trading With Examples | Trading For Beginners</t>
  </si>
  <si>
    <t>https://www.youtube.com/watch?v=zS77gtbE8lI</t>
  </si>
  <si>
    <t>zS77gtbE8lI</t>
  </si>
  <si>
    <t>Top 5 Chart Patterns In Trading With Examples |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October 25, 2023
#trading #stockmarket #chartpatterns</t>
  </si>
  <si>
    <t>https://i.ytimg.com/vi/zS77gtbE8lI/hqdefault.jpg</t>
  </si>
  <si>
    <t>Rule Based Trading Systems | How To Become a Disciplined Trader? | Trading Psychology</t>
  </si>
  <si>
    <t>https://www.youtube.com/watch?v=rzbGrEzL_nQ</t>
  </si>
  <si>
    <t>rzbGrEzL_nQ</t>
  </si>
  <si>
    <t>Rule Based Trading Systems | How To Become a Disciplined Trader? | Trading Psychology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October 24, 2023
#trading #stockmarket #rulebasedtrading #tradingpsychology</t>
  </si>
  <si>
    <t>https://i.ytimg.com/vi/rzbGrEzL_nQ/hqdefault.jpg</t>
  </si>
  <si>
    <t>How To Use ChatGPT For Trading? | ChatGPT Trading Explained For Beginners</t>
  </si>
  <si>
    <t>https://www.youtube.com/watch?v=wmrqw8gVvCA</t>
  </si>
  <si>
    <t>wmrqw8gVvCA</t>
  </si>
  <si>
    <t>How To Use ChatGPT For Trading? | ChatGPT Trading Explained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24, 2023
#stockmarket #trading #chatgpt #tradingforbeginners</t>
  </si>
  <si>
    <t>https://i.ytimg.com/vi/wmrqw8gVvCA/hqdefault.jpg</t>
  </si>
  <si>
    <t>How To Use CPR Indicator? | Intraday Trading Strategy - Central Pivot Range</t>
  </si>
  <si>
    <t>https://www.youtube.com/watch?v=dv8IJsq0TN0</t>
  </si>
  <si>
    <t>dv8IJsq0TN0</t>
  </si>
  <si>
    <t>How To Use CPR Indicator? | Intraday Trading Strategy - Central Pivot Range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October 21, 2023
#stockmarket #trading #centralpivotrange #pivotpoints</t>
  </si>
  <si>
    <t>https://i.ytimg.com/vi/dv8IJsq0TN0/hqdefault.jpg</t>
  </si>
  <si>
    <t>How To Get Perfect Entry And Exit In Trading? | Alligator Indicator Strategy</t>
  </si>
  <si>
    <t>https://www.youtube.com/watch?v=pDAPViwyp5o</t>
  </si>
  <si>
    <t>pDAPViwyp5o</t>
  </si>
  <si>
    <t>How To Get Perfect Entry And Exit In Trading? | Alligator Indicator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October 17, 2023
#trading #stockmarket #alligatorindicatorstrategy #tradingforbeginners</t>
  </si>
  <si>
    <t>https://i.ytimg.com/vi/pDAPViwyp5o/hqdefault.jpg</t>
  </si>
  <si>
    <t>What Is India VIX ? | Indian VIX Trading Strategy In Hindi</t>
  </si>
  <si>
    <t>https://www.youtube.com/watch?v=auJ6R8bVK_U</t>
  </si>
  <si>
    <t>auJ6R8bVK_U</t>
  </si>
  <si>
    <t>What Is India VIX ? | Indian VIX Trading Strategy In Hindi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13, 2023
#stockmarket #trading #indiavix</t>
  </si>
  <si>
    <t>https://i.ytimg.com/vi/auJ6R8bVK_U/hqdefault.jpg</t>
  </si>
  <si>
    <t>Types Of Trading Explained | Which Trading Style Is Best For You? | Trading For Beginners</t>
  </si>
  <si>
    <t>https://www.youtube.com/watch?v=rqZOmC0jlkQ</t>
  </si>
  <si>
    <t>rqZOmC0jlkQ</t>
  </si>
  <si>
    <t>Types Of Trading Explained | Which Trading Style Is Best For You? |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18, 2023
#trading #stockmarket #tradingforbeginners</t>
  </si>
  <si>
    <t>https://i.ytimg.com/vi/rqZOmC0jlkQ/hqdefault.jpg</t>
  </si>
  <si>
    <t>What Is Paper Trading (With Examples)? | Paper Trading For Beginners</t>
  </si>
  <si>
    <t>https://www.youtube.com/watch?v=__rK6F1JeUU</t>
  </si>
  <si>
    <t>__rK6F1JeUU</t>
  </si>
  <si>
    <t>What Is Paper Trading (With Examples)? | Paper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October 15, 2023
#trading #stockmarket #papertrading</t>
  </si>
  <si>
    <t>https://i.ytimg.com/vi/__rK6F1JeUU/hqdefault.jpg</t>
  </si>
  <si>
    <t>What Is ADX Indicator? | ADX Indicator Strategy</t>
  </si>
  <si>
    <t>https://www.youtube.com/watch?v=19MGlD6T7LU</t>
  </si>
  <si>
    <t>19MGlD6T7LU</t>
  </si>
  <si>
    <t>What Is ADX Indicator? | ADX Indicator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September 9, 2023
#trading #stockmarket #adxindicator</t>
  </si>
  <si>
    <t>https://i.ytimg.com/vi/19MGlD6T7LU/hqdefault.jpg</t>
  </si>
  <si>
    <t>Index Trading Vs Stock Trading - What Is Better?</t>
  </si>
  <si>
    <t>https://www.youtube.com/watch?v=nDPNsasP58s</t>
  </si>
  <si>
    <t>nDPNsasP58s</t>
  </si>
  <si>
    <t>Index Trading Vs Stock Trading - What Is Better?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10, 2023
#trading #stockmarket #stocktrading #indextrading</t>
  </si>
  <si>
    <t>https://i.ytimg.com/vi/nDPNsasP58s/hqdefault.jpg</t>
  </si>
  <si>
    <t>How To Trade On Expiry Day? | Expiry Strategy To Get High Returns In Trading</t>
  </si>
  <si>
    <t>https://www.youtube.com/watch?v=d1tHmwJ5uC4</t>
  </si>
  <si>
    <t>d1tHmwJ5uC4</t>
  </si>
  <si>
    <t>How To Trade On Expiry Day? | Expiry Strategy To Get High Returns In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10, 2023
#trading #stockmarket #expirydaytrading</t>
  </si>
  <si>
    <t>https://i.ytimg.com/vi/d1tHmwJ5uC4/hqdefault.jpg</t>
  </si>
  <si>
    <t>What Is VWAP Trading Strategy? | How To Use VWAP To Capture Trending Market</t>
  </si>
  <si>
    <t>https://www.youtube.com/watch?v=tiEBiFZxKsk</t>
  </si>
  <si>
    <t>tiEBiFZxKsk</t>
  </si>
  <si>
    <t>What Is VWAP Trading Strategy? | How To Use VWAP To Capture Trending Market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October 8, 2023
#trending #stockmarket #vwap</t>
  </si>
  <si>
    <t>https://i.ytimg.com/vi/tiEBiFZxKsk/hqdefault.jpg</t>
  </si>
  <si>
    <t>Bollinger Bands Indicator - How To Recognise Volatility? | Bollinger Band Trading Strategy</t>
  </si>
  <si>
    <t>https://www.youtube.com/watch?v=FsiBlZ8yIQY</t>
  </si>
  <si>
    <t>FsiBlZ8yIQY</t>
  </si>
  <si>
    <t>Bollinger Bands Indicator - How To Recognise Volatility? | Bollinger Band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October 8, 2023
#trading #stockmarket #bollingerbands</t>
  </si>
  <si>
    <t>https://i.ytimg.com/vi/FsiBlZ8yIQY/hqdefault.jpg</t>
  </si>
  <si>
    <t>Pivot Point Trading Strategy Explained! | Easiest Intraday Strategy For Trading</t>
  </si>
  <si>
    <t>https://www.youtube.com/watch?v=XPODRrrALSc</t>
  </si>
  <si>
    <t>XPODRrrALSc</t>
  </si>
  <si>
    <t>Pivot Point Trading Strategy Explained! | Easiest Intraday Strategy For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3,2023
#stockmarket #trading #pivotpoints</t>
  </si>
  <si>
    <t>https://i.ytimg.com/vi/XPODRrrALSc/hqdefault.jpg</t>
  </si>
  <si>
    <t>What Is Pledging Of Shares? | Understanding The Pros And Cons! | Trading For Beginners</t>
  </si>
  <si>
    <t>https://www.youtube.com/watch?v=yKejpjUAk5E</t>
  </si>
  <si>
    <t>yKejpjUAk5E</t>
  </si>
  <si>
    <t>What Is Pledging Of Shares? | Understanding The Pros And Cons! |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October 3, 2023
About Groww
Groww is India’s Best Investment App and the Largest Stock Broker.
Find us here:
Android app: https://app.groww.in/v3cO/f9o4prne
iOS app - https://app.groww.in/v3cO/tu0yrc3e
Website - https://groww.in/
#trading #stockmarket #shares</t>
  </si>
  <si>
    <t>https://i.ytimg.com/vi/yKejpjUAk5E/hqdefault.jpg</t>
  </si>
  <si>
    <t>How To Calculate Put Call Ratio? | PCR Analysis | PCR Trading Strategy</t>
  </si>
  <si>
    <t>https://www.youtube.com/watch?v=8XtD1RpcKZU</t>
  </si>
  <si>
    <t>8XtD1RpcKZU</t>
  </si>
  <si>
    <t>How To Calculate Put Call Ratio? | PCR Analysis | PCR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September 27, 2023
#stockmarket #trading #putcallratio</t>
  </si>
  <si>
    <t>https://i.ytimg.com/vi/8XtD1RpcKZU/hqdefault.jpg</t>
  </si>
  <si>
    <t>Best Methods To Decide Stop-loss | Trailing Stop-loss In Trading</t>
  </si>
  <si>
    <t>https://www.youtube.com/watch?v=tINHTSdwmVI</t>
  </si>
  <si>
    <t>tINHTSdwmVI</t>
  </si>
  <si>
    <t>Best Methods To Decide Stop-loss | Trailing Stop-loss In Trading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September 28, 2023
#stockmarket #trading #stoploss</t>
  </si>
  <si>
    <t>https://i.ytimg.com/vi/tINHTSdwmVI/hqdefault.jpg</t>
  </si>
  <si>
    <t>What Is Open Interest In Stock Market? | Open Interest Trading Strategy</t>
  </si>
  <si>
    <t>https://www.youtube.com/watch?v=ijK9CXJlKDw</t>
  </si>
  <si>
    <t>ijK9CXJlKDw</t>
  </si>
  <si>
    <t>What Is Open Interest In Stock Market? | Open Interest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28, 2023
#trading #stockmarket #openinterest</t>
  </si>
  <si>
    <t>https://i.ytimg.com/vi/ijK9CXJlKDw/hqdefault.jpg</t>
  </si>
  <si>
    <t>BTST Trading Strategy Fully Explained | BTST Strategy For Stocks And Options Buying</t>
  </si>
  <si>
    <t>https://www.youtube.com/watch?v=SQD4sKy_5ec</t>
  </si>
  <si>
    <t>SQD4sKy_5ec</t>
  </si>
  <si>
    <t>BTST Trading Strategy Fully Explained | BTST Strategy For Stocks And Options Buying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29, 2023
#trading #stockmarket #tradingforbeginners</t>
  </si>
  <si>
    <t>https://i.ytimg.com/vi/SQD4sKy_5ec/hqdefault.jpg</t>
  </si>
  <si>
    <t>How To Select Stock For Intraday Trading? | Equity Trading | Intraday Trading Strategies</t>
  </si>
  <si>
    <t>https://www.youtube.com/watch?v=GFJNR1gTGLY</t>
  </si>
  <si>
    <t>GFJNR1gTGLY</t>
  </si>
  <si>
    <t>How To Select Stock For Intraday Trading? | Equity Trading | Intraday Trading Strategies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September 26, 2023
#trading #stockmarket #intradaytrading #equity</t>
  </si>
  <si>
    <t>https://i.ytimg.com/vi/GFJNR1gTGLY/hqdefault.jpg</t>
  </si>
  <si>
    <t>Technical Analysis Masterclass In Hindi | Trading For Beginners</t>
  </si>
  <si>
    <t>https://www.youtube.com/watch?v=N7zakQpR0UQ</t>
  </si>
  <si>
    <t>N7zakQpR0UQ</t>
  </si>
  <si>
    <t>Technical Analysis Masterclass In Hindi | Trading For Beginners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21, 2023
#trading #stockmarket #technicalanalysis</t>
  </si>
  <si>
    <t>https://i.ytimg.com/vi/N7zakQpR0UQ/hqdefault.jpg</t>
  </si>
  <si>
    <t>How To Use RSI Divergence Strategy For Positional Trading | RSI Trading Strategy</t>
  </si>
  <si>
    <t>https://www.youtube.com/watch?v=7Qbu1cHmLQs</t>
  </si>
  <si>
    <t>7Qbu1cHmLQs</t>
  </si>
  <si>
    <t>How To Use RSI Divergence Strategy For Positional Trading | RSI Trading Strategy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23, 2023
#trading #stockmarket #rsidivergence</t>
  </si>
  <si>
    <t>https://i.ytimg.com/vi/7Qbu1cHmLQs/hqdefault.jpg</t>
  </si>
  <si>
    <t>What Are Heikin-Ashi Candles? | Best Heikin Ashi Trading Strategies Explained</t>
  </si>
  <si>
    <t>https://www.youtube.com/watch?v=uz911tvV8pQ</t>
  </si>
  <si>
    <t>uz911tvV8pQ</t>
  </si>
  <si>
    <t>What Are Heikin-Ashi Candles? | Best Heikin Ashi Trading Strategies Explained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September 21, 2023
#trading #stockmarket #heikinashi</t>
  </si>
  <si>
    <t>https://i.ytimg.com/vi/uz911tvV8pQ/hqdefault.jpg</t>
  </si>
  <si>
    <t>How To Recover From Big Trading Loss ? | Trading Psychology | Loss Recovery</t>
  </si>
  <si>
    <t>https://www.youtube.com/watch?v=DpSfQju9zVg</t>
  </si>
  <si>
    <t>DpSfQju9zVg</t>
  </si>
  <si>
    <t>How To Recover From Big Trading Loss ? | Trading Psychology | Loss Recovery
About Groww
Groww is India’s Best Investment App and the Largest Stock Broker.
Find us here:
Android app: https://app.groww.in/v3cO/f9o4prne
iOS app - https://app.groww.in/v3cO/tu0yrc3e
Website - https://groww.in/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September 8, 2023
#trending #stockmarket #tradingpsychology #lossrecovery</t>
  </si>
  <si>
    <t>https://i.ytimg.com/vi/DpSfQju9zVg/hqdefault.jpg</t>
  </si>
  <si>
    <t>Smart Money Concept Explained | SMC Trading Strategy With High Risk-Reward Ratio      #smartmoney</t>
  </si>
  <si>
    <t>https://www.youtube.com/watch?v=Fjx33KpZ7YE</t>
  </si>
  <si>
    <t>Fjx33KpZ7YE</t>
  </si>
  <si>
    <t>What Is Smart Money Concept? SMC Trading Strategy With High Risk-Reward Ratio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3, 2023
#trading #stockmarket #smc #smartmoney #smartmoneyconcepts</t>
  </si>
  <si>
    <t>https://i.ytimg.com/vi/Fjx33KpZ7YE/hqdefault.jpg</t>
  </si>
  <si>
    <t>How To Use Chartink Screener For Intraday? | How Do I Scan Stocks In Chartink?</t>
  </si>
  <si>
    <t>https://www.youtube.com/watch?v=zh5GCvNZzHU</t>
  </si>
  <si>
    <t>zh5GCvNZzHU</t>
  </si>
  <si>
    <t>How To Use Chartink Screener For Intraday? | How Do I Scan Stocks In Chartink?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14, 2023
About Groww
Groww is India’s Best Investment App and the Largest Stock Broker.
Find us here:
Android app: https://app.groww.in/v3cO/f9o4prne
iOS app - https://app.groww.in/v3cO/tu0yrc3e
Website - https://groww.in/
#trading #stockmarket #chartink</t>
  </si>
  <si>
    <t>https://i.ytimg.com/vi/zh5GCvNZzHU/hqdefault.jpg</t>
  </si>
  <si>
    <t>5 Rules To Be More Disciplined In Trading | Trading Psychology</t>
  </si>
  <si>
    <t>https://www.youtube.com/watch?v=JULxOF9qL9c</t>
  </si>
  <si>
    <t>JULxOF9qL9c</t>
  </si>
  <si>
    <t>5 Rules To Be More Disciplined In Trading | Trading Psychology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September 8, 2023
#trading #stockmarket #tradingpsychology</t>
  </si>
  <si>
    <t>https://i.ytimg.com/vi/JULxOF9qL9c/hqdefault.jpg</t>
  </si>
  <si>
    <t>How To Combine RSI + Supertrend Indicators For Weekly Chart? | Positional Trading Strategy</t>
  </si>
  <si>
    <t>https://www.youtube.com/watch?v=PF0rVD94h14</t>
  </si>
  <si>
    <t>PF0rVD94h14</t>
  </si>
  <si>
    <t>How To Combine RSI + Supertrend Indicators For Weekly Chart? | Positional Trading Strategy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9, 2023
#trading #stockmarket #supertrendindicator #rsi #positionaltradingstrategy</t>
  </si>
  <si>
    <t>https://i.ytimg.com/vi/PF0rVD94h14/hqdefault.jpg</t>
  </si>
  <si>
    <t>Top 3 Candlestick Patterns Every Trader Should Know</t>
  </si>
  <si>
    <t>https://www.youtube.com/watch?v=f2VpAA-5dkg</t>
  </si>
  <si>
    <t>f2VpAA-5dkg</t>
  </si>
  <si>
    <t>Top 3 Candlestick Patterns Every Trader Should Know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4, 2023
#trading #stockmarket #candlestickpattern</t>
  </si>
  <si>
    <t>https://i.ytimg.com/vi/f2VpAA-5dkg/hqdefault.jpg</t>
  </si>
  <si>
    <t>What Is Position Sizing In Stock Trading? | How Much Capital To Use Per Trade?</t>
  </si>
  <si>
    <t>https://www.youtube.com/watch?v=jnewsLAAEqs</t>
  </si>
  <si>
    <t>jnewsLAAEqs</t>
  </si>
  <si>
    <t>What Is Position Sizing In Stock Trading? | How Much Capital To Use Per Trade?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September 7, 2023
#trading #stockmarket #positionsizing</t>
  </si>
  <si>
    <t>https://i.ytimg.com/vi/jnewsLAAEqs/hqdefault.jpg</t>
  </si>
  <si>
    <t>Option Selling - 5 Biggest Mistakes To Avoid With Example | Option Trading For Beginners</t>
  </si>
  <si>
    <t>https://www.youtube.com/watch?v=ZJLHTSbyOqM</t>
  </si>
  <si>
    <t>ZJLHTSbyOqM</t>
  </si>
  <si>
    <t>Option Selling - 5 Biggest Mistakes To Avoid With Example | Option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September 4, 2023
#trading #stockmarket #optionselling</t>
  </si>
  <si>
    <t>https://i.ytimg.com/vi/ZJLHTSbyOqM/hqdefault.jpg</t>
  </si>
  <si>
    <t>How To Trade On Expiry Day ? | Highly Profitable Zero-Hero Options Trading Strategy</t>
  </si>
  <si>
    <t>https://www.youtube.com/watch?v=3dGaNNjmd8g</t>
  </si>
  <si>
    <t>3dGaNNjmd8g</t>
  </si>
  <si>
    <t>How To Trade On Expiry Day ? | Highly Profitable Zero-Hero Options Trading Strategy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August 29, 2023
#trending #stockmarket #expirydaytrading</t>
  </si>
  <si>
    <t>https://i.ytimg.com/vi/3dGaNNjmd8g/hqdefault.jpg</t>
  </si>
  <si>
    <t>How To Do Swing Trading In Options? | Options Selling Strategy</t>
  </si>
  <si>
    <t>https://www.youtube.com/watch?v=_-HKyyBt9VQ</t>
  </si>
  <si>
    <t>_-HKyyBt9VQ</t>
  </si>
  <si>
    <t>How To Do Swing Trading In Options? | Options Selling Strategy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August 28, 2023
#trading #stockmarket #optionselling</t>
  </si>
  <si>
    <t>https://i.ytimg.com/vi/_-HKyyBt9VQ/hqdefault.jpg</t>
  </si>
  <si>
    <t>How Do I Get Better At Price Action Trading? | Price Action Free Masterclass For Intraday</t>
  </si>
  <si>
    <t>https://www.youtube.com/watch?v=qwAWJGTP55k</t>
  </si>
  <si>
    <t>qwAWJGTP55k</t>
  </si>
  <si>
    <t>How Do I Get Better At Price Action Trading? | Price Action Free Masterclass For Intraday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August 25, 2023
#trading #stockmarket #priceaction</t>
  </si>
  <si>
    <t>https://i.ytimg.com/vi/qwAWJGTP55k/hqdefault.jpg</t>
  </si>
  <si>
    <t>What Is The Best Way To Use Trailing Stop Loss? | What Is The Most Common Trailing Stop-loss Method</t>
  </si>
  <si>
    <t>https://www.youtube.com/watch?v=YJJAt8p-f34</t>
  </si>
  <si>
    <t>YJJAt8p-f34</t>
  </si>
  <si>
    <t>What Is The Best Way To Use Trailing Stop Loss? | What Is The Most Common Trailing Stop-loss Method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August 22, 2023</t>
  </si>
  <si>
    <t>https://i.ytimg.com/vi/YJJAt8p-f34/hqdefault.jpg</t>
  </si>
  <si>
    <t>What Are The Pros and Cons Of Being a Full-time Trader? | Is It Hard To Be a Full-time Day Trader?</t>
  </si>
  <si>
    <t>https://www.youtube.com/watch?v=tMkFFa-lbRY</t>
  </si>
  <si>
    <t>tMkFFa-lbRY</t>
  </si>
  <si>
    <t>What Are The Pros and Cons Of Being a Full-time Trader? | Is It Hard To Be a Full-time Day Trader?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August 21, 2023</t>
  </si>
  <si>
    <t>https://i.ytimg.com/vi/tMkFFa-lbRY/hqdefault.jpg</t>
  </si>
  <si>
    <t>How Does Elliott Wave Theory Work? | How To Use Elliott Wave Strategy For Trading In Hindi</t>
  </si>
  <si>
    <t>https://www.youtube.com/watch?v=flVD-o7l_2U</t>
  </si>
  <si>
    <t>flVD-o7l_2U</t>
  </si>
  <si>
    <t>How Does Elliott Wave Theory Work? | How To Use Elliott Wave Strategy For Trading In Hindi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Arjun Tandon
Date: August 19, 2023
#trading #stockmarket #elliottwave</t>
  </si>
  <si>
    <t>https://i.ytimg.com/vi/flVD-o7l_2U/hqdefault.jpg</t>
  </si>
  <si>
    <t>Easiest Way To Trade In Stock Options! | Stock Option Trading For Beginners</t>
  </si>
  <si>
    <t>https://www.youtube.com/watch?v=ianHLwZE2cw</t>
  </si>
  <si>
    <t>ianHLwZE2cw</t>
  </si>
  <si>
    <t>Easiest Way To Trade In Stock Options! | Stock Option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August 16, 2023
#trading #stockmarket #stockoptions</t>
  </si>
  <si>
    <t>https://i.ytimg.com/vi/ianHLwZE2cw/hqdefault.jpg</t>
  </si>
  <si>
    <t>How Do You Use a Super Trend Indicator? | Super Trend Indicator Best Settings For Intraday</t>
  </si>
  <si>
    <t>https://www.youtube.com/watch?v=DeUtKzP97Ig</t>
  </si>
  <si>
    <t>DeUtKzP97Ig</t>
  </si>
  <si>
    <t>How Do You Use a Super Trend Indicator? | Super Trend Indicator Best Settings For Intraday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August 14, 2023
#trading #stockmarket #supertrendindicator</t>
  </si>
  <si>
    <t>https://i.ytimg.com/vi/DeUtKzP97Ig/hqdefault.jpg</t>
  </si>
  <si>
    <t>How To Trade Using Support And Resistance Levels For Trading | Trading For Beginners In Hindi</t>
  </si>
  <si>
    <t>https://www.youtube.com/watch?v=8i9-kmQKkLE</t>
  </si>
  <si>
    <t>8i9-kmQKkLE</t>
  </si>
  <si>
    <t>How To Trade Using Support And Resistance Levels For Trading | Trading For Beginners In Hindi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August 12, 2023
#trading #stockmarket #supportandresistance</t>
  </si>
  <si>
    <t>https://i.ytimg.com/vi/8i9-kmQKkLE/hqdefault.jpg</t>
  </si>
  <si>
    <t>What Is Turtle Trading Strategy? | How To Use Donchian Indicator | Positional Trading Strategy</t>
  </si>
  <si>
    <t>https://www.youtube.com/watch?v=7Pft3aY1YA0</t>
  </si>
  <si>
    <t>7Pft3aY1YA0</t>
  </si>
  <si>
    <t>What Is Turtle Trading Strategy? | How To Use Donchian Indicator | Positional Trading Strategy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August 9, 2023
#trading #stockmarket #positionaltradingstrategy</t>
  </si>
  <si>
    <t>https://i.ytimg.com/vi/7Pft3aY1YA0/hqdefault.jpg</t>
  </si>
  <si>
    <t>How Does Gann's Theory Work? | How To Use Gann Fan Strategy With Bollinger Bands And Regression Line</t>
  </si>
  <si>
    <t>https://www.youtube.com/watch?v=tE7aoKmmJQk</t>
  </si>
  <si>
    <t>tE7aoKmmJQk</t>
  </si>
  <si>
    <t>How Does Gann's Theory Work? | How To Use Gann Fan Strategy With Bollinger Bands And Regression Line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Aseeem Singhal
Date: August 7, 2023</t>
  </si>
  <si>
    <t>https://i.ytimg.com/vi/tE7aoKmmJQk/hqdefault.jpg</t>
  </si>
  <si>
    <t>Intraday Strangle Option Selling Strategy | Option Trading Strategies | Trading with Groww</t>
  </si>
  <si>
    <t>https://www.youtube.com/watch?v=fKwaV10Nw-s</t>
  </si>
  <si>
    <t>fKwaV10Nw-s</t>
  </si>
  <si>
    <t>Intraday Strangle Option Selling Strategy | Option Trading Strategies | Trading with Groww
Sourabh's YouTube Channel - https://youtube.com/@SourabhSisodiya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Arjun Tandon &amp; Sourabh Sisodiya
Date: 5 Aug, 2023.
#trading #stockmarket #strangle</t>
  </si>
  <si>
    <t>https://i.ytimg.com/vi/fKwaV10Nw-s/hqdefault.jpg</t>
  </si>
  <si>
    <t>6 Price Action Trading Tips You Can Learn In 12 Minutes | Advance Price Action Trading Strategies</t>
  </si>
  <si>
    <t>https://www.youtube.com/watch?v=TS7vqxYderc</t>
  </si>
  <si>
    <t>TS7vqxYderc</t>
  </si>
  <si>
    <t>6 Price Action Trading Tips You Can Learn In 12 Minutes | Advance Price Action Trading Strategies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August 2, 2023</t>
  </si>
  <si>
    <t>https://i.ytimg.com/vi/TS7vqxYderc/hqdefault.jpg</t>
  </si>
  <si>
    <t>What Is The Best Strategy For Scalping? | Best Scalping Tips &amp; Scalping Strategies For Intraday</t>
  </si>
  <si>
    <t>https://www.youtube.com/watch?v=8-kYueD8SG0</t>
  </si>
  <si>
    <t>8-kYueD8SG0</t>
  </si>
  <si>
    <t>What Is The Best Strategy For Scalping? | Best Scalping Tips &amp; Scalping Strategies For Intraday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July 31, 2023
#trading #stockmarket #scalping</t>
  </si>
  <si>
    <t>https://i.ytimg.com/vi/8-kYueD8SG0/hqdefault.jpg</t>
  </si>
  <si>
    <t>What Is Max Pain Theory &amp; How Does It Work | Max Pain Option Trading Strategy</t>
  </si>
  <si>
    <t>https://www.youtube.com/watch?v=p_TMtU7uIaY</t>
  </si>
  <si>
    <t>p_TMtU7uIaY</t>
  </si>
  <si>
    <t>What Is Max Pain Theory &amp; How Does It Work | Max Pain Option Trading Strategy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July 28, 2023
#trading #stockmarket #maxpaintheory</t>
  </si>
  <si>
    <t>https://i.ytimg.com/vi/p_TMtU7uIaY/hqdefault.jpg</t>
  </si>
  <si>
    <t>How To Select Strike Price In Options For Intraday? | How To Select Best Strike Price for Buying</t>
  </si>
  <si>
    <t>https://www.youtube.com/watch?v=-dHGy1omgO0</t>
  </si>
  <si>
    <t>-dHGy1omgO0</t>
  </si>
  <si>
    <t>How To Select Strike Price In Options For Intraday? | How To Select Best Strike Price for Buying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July 27, 2023
#trading #stockmarket #strikepriceselection</t>
  </si>
  <si>
    <t>https://i.ytimg.com/vi/-dHGy1omgO0/hqdefault.jpg</t>
  </si>
  <si>
    <t>How To Trade Using CCI Indicator For Day Trading | CCI Indicator Trading Strategies For Beginners</t>
  </si>
  <si>
    <t>https://www.youtube.com/watch?v=SdQPksbHyw4</t>
  </si>
  <si>
    <t>SdQPksbHyw4</t>
  </si>
  <si>
    <t>How To Trade Using CCI Indicator For Day Trading | CCI Indicator Trading Strategies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July 25, 2023
#trading #stockmarket #daytrading</t>
  </si>
  <si>
    <t>https://i.ytimg.com/vi/SdQPksbHyw4/hqdefault.jpg</t>
  </si>
  <si>
    <t>When To Buy Or Sell Call and Put Options | Option Selling vs Option Buying Which Is Better</t>
  </si>
  <si>
    <t>https://www.youtube.com/watch?v=QdHr34Ko_4M</t>
  </si>
  <si>
    <t>QdHr34Ko_4M</t>
  </si>
  <si>
    <t>When To Buy Or Sell Call and Put Options | Option Selling vs Option Buying Which Is Better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July 23, 2023
#optionselling #optionbuying #optionstrading</t>
  </si>
  <si>
    <t>https://i.ytimg.com/vi/QdHr34Ko_4M/hqdefault.jpg</t>
  </si>
  <si>
    <t>Moving Average Crossover Strategy For Intraday | Moving Average Ko Use Karne Ka Sahi Tarika Kya Hai?</t>
  </si>
  <si>
    <t>https://www.youtube.com/watch?v=vlw4oSNUI1k</t>
  </si>
  <si>
    <t>vlw4oSNUI1k</t>
  </si>
  <si>
    <t>Moving Average Crossover Strategy For Intraday | Moving Average Ko Use Karne Ka Sahi Tarika Kya Hai?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19 July, 2023.
#trading #movingaverage #movingaveragestrategy</t>
  </si>
  <si>
    <t>https://i.ytimg.com/vi/vlw4oSNUI1k/hqdefault.jpg</t>
  </si>
  <si>
    <t>How To Predict The Market Direction Using Option Chain Analysis | Option Chain Analysis For Intraday</t>
  </si>
  <si>
    <t>https://www.youtube.com/watch?v=Inq0I5n3gBU</t>
  </si>
  <si>
    <t>Inq0I5n3gBU</t>
  </si>
  <si>
    <t>How To Predict The Market Direction Using Option Chain Analysis | Option Chain Analysis For Intraday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July 17, 2023
#stockmarket #trading #optionchainanalysis</t>
  </si>
  <si>
    <t>https://i.ytimg.com/vi/Inq0I5n3gBU/hqdefault.jpg</t>
  </si>
  <si>
    <t>What Are The Advantages Of Full-time Trading? | Should You Become a Full-time Trader</t>
  </si>
  <si>
    <t>https://www.youtube.com/watch?v=bVrj5udmgwo</t>
  </si>
  <si>
    <t>bVrj5udmgwo</t>
  </si>
  <si>
    <t>What Are The Advantages Of Full-time Trading? | Should You Become a Full-time Trader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July 16, 2023
#trading #stockmarket #fulltimetrader</t>
  </si>
  <si>
    <t>https://i.ytimg.com/vi/bVrj5udmgwo/hqdefault.jpg</t>
  </si>
  <si>
    <t>How To Trade Using Opening Range Breakout Strategy in Intraday | Best Intraday Strategy in Hindi</t>
  </si>
  <si>
    <t>https://www.youtube.com/watch?v=FwQztWw0VLU</t>
  </si>
  <si>
    <t>FwQztWw0VLU</t>
  </si>
  <si>
    <t>How To Trade Using Opening Range Breakout Strategy in Intraday | Best Intraday Strategy in Hindi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Tanisha Garg
Date: July 13, 2023
#trading #openingrangebreakoutstrategy #stockmarket</t>
  </si>
  <si>
    <t>https://i.ytimg.com/vi/FwQztWw0VLU/hqdefault.jpg</t>
  </si>
  <si>
    <t>Short Straddle Adjustments Hindi | Short Straddle Option Strategy | Option Trading For Beginners</t>
  </si>
  <si>
    <t>https://www.youtube.com/watch?v=j5VMhBaYXqM</t>
  </si>
  <si>
    <t>j5VMhBaYXqM</t>
  </si>
  <si>
    <t>Short Straddle Adjustments Hindi | Short Straddle Option Strategy | Option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10 July, 2023
#trading #stockmarket #straddlestrategy</t>
  </si>
  <si>
    <t>https://i.ytimg.com/vi/j5VMhBaYXqM/hqdefault.jpg</t>
  </si>
  <si>
    <t>How to Select the Best Stocks for Swing Trading | Swing Trading Stock Selection for Beginners</t>
  </si>
  <si>
    <t>https://www.youtube.com/watch?v=Cn7TCKLsl24</t>
  </si>
  <si>
    <t>Cn7TCKLsl24</t>
  </si>
  <si>
    <t>How to Select the Best Stocks for Swing Trading | Swing Trading Stock Selection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July 9, 2023
#swingtrade #stockselectionforswingtrading #trading stock selection for swing trading</t>
  </si>
  <si>
    <t>https://i.ytimg.com/vi/Cn7TCKLsl24/hqdefault.jpg</t>
  </si>
  <si>
    <t>Stochastic Indicator In Trading For Sideways And Trending Market | Technical Analysis For Beginners</t>
  </si>
  <si>
    <t>https://www.youtube.com/watch?v=D1fbTn3ZlEo</t>
  </si>
  <si>
    <t>D1fbTn3ZlEo</t>
  </si>
  <si>
    <t>Stochastic Indicator In Trading For Sideways And Trending Market | Technical Analysis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July 06, 2023
#trading #stochasticoscillator #stockmarket</t>
  </si>
  <si>
    <t>https://i.ytimg.com/vi/D1fbTn3ZlEo/hqdefault.jpg</t>
  </si>
  <si>
    <t>How To Use Awesome Oscillator For Trading | Awesome Oscillator Strategy With Trading With Groww</t>
  </si>
  <si>
    <t>https://www.youtube.com/watch?v=VNdfwuA9BSw</t>
  </si>
  <si>
    <t>VNdfwuA9BSw</t>
  </si>
  <si>
    <t>How To Use Awesome Oscillator For Trading | Awesome Oscillator Strategy With Trading With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July 04, 2023
#trading #stockmarket #indicators</t>
  </si>
  <si>
    <t>https://i.ytimg.com/vi/VNdfwuA9BSw/hqdefault.jpg</t>
  </si>
  <si>
    <t>Top 7 Tips For Scalping In Intraday Trading | Trading For Beginners | Trading with Groww</t>
  </si>
  <si>
    <t>https://www.youtube.com/watch?v=7-SZRxh5Ikw</t>
  </si>
  <si>
    <t>7-SZRxh5Ikw</t>
  </si>
  <si>
    <t>Top 7 Tips For Scalping In Intraday Trading | Trading For Beginners | Trading with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1 July, 2023.
#scalping #trading #stockmarket</t>
  </si>
  <si>
    <t>https://i.ytimg.com/vi/7-SZRxh5Ikw/hqdefault.jpg</t>
  </si>
  <si>
    <t>Top 6 Tips For Swing Trading By Trading with Groww | Swing Trading For Beginners</t>
  </si>
  <si>
    <t>https://www.youtube.com/watch?v=JWVJ1J7-MVU</t>
  </si>
  <si>
    <t>JWVJ1J7-MVU</t>
  </si>
  <si>
    <t>Top 6 Tips For Swing Trading By Trading with Groww | Swing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Tanisha Garg
Date: 29 June, 2023
#trading #swingtrade #stockmarket</t>
  </si>
  <si>
    <t>https://i.ytimg.com/vi/JWVJ1J7-MVU/hqdefault.jpg</t>
  </si>
  <si>
    <t>Advantages Of Pledging Shares On Groww App | Shares Pledging | Trading With Groww</t>
  </si>
  <si>
    <t>https://www.youtube.com/watch?v=TjVMelbJ0-M</t>
  </si>
  <si>
    <t>TjVMelbJ0-M</t>
  </si>
  <si>
    <t>Advantages Of Pledging Shares On Groww App | Shares Pledging | Trading With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#stockmarketindia</t>
  </si>
  <si>
    <t>https://i.ytimg.com/vi/TjVMelbJ0-M/hqdefault.jpg</t>
  </si>
  <si>
    <t>Bank Nifty Strategy For Expiry Day Trading | Expiry Day Trading Strategy | Trading For Beginners</t>
  </si>
  <si>
    <t>https://www.youtube.com/watch?v=nHtZng3AGl4</t>
  </si>
  <si>
    <t>nHtZng3AGl4</t>
  </si>
  <si>
    <t>Bank Nifty Strategy For Expiry Day Trading | Expiry Day Trading Strategy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June 25, 2023
#trading #stockmarket #banknifty</t>
  </si>
  <si>
    <t>https://i.ytimg.com/vi/nHtZng3AGl4/hqdefault.jpg</t>
  </si>
  <si>
    <t>How Much Risk To Take In Share Market| Risk Management Intraday Trading | Position Sizing In Trading</t>
  </si>
  <si>
    <t>https://www.youtube.com/watch?v=tQKqIeTnTn8</t>
  </si>
  <si>
    <t>tQKqIeTnTn8</t>
  </si>
  <si>
    <t>How Much Risk To Take In Share Market| Risk Management Intraday Trading | Position Sizing In Trading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Tanisha Garg
Date: June 22, 2023
#trading #stockmarket #riskmanagement</t>
  </si>
  <si>
    <t>https://i.ytimg.com/vi/tQKqIeTnTn8/hqdefault.jpg</t>
  </si>
  <si>
    <t>What Is Ichimoku Cloud Trading? | Ichimoku Cloud Entry And Exit Criteria | Trading With Groww</t>
  </si>
  <si>
    <t>https://www.youtube.com/watch?v=8V-F8s4knMY</t>
  </si>
  <si>
    <t>8V-F8s4knMY</t>
  </si>
  <si>
    <t>What Is Ichimoku Cloud Trading? | Ichimoku Cloud Entry And Exit Criteria | Trading With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Gurleen Kaur
Date: June 20,2023
#trading #ichimoku #ichimokuchartingsystem</t>
  </si>
  <si>
    <t>https://i.ytimg.com/vi/8V-F8s4knMY/hqdefault.jpg</t>
  </si>
  <si>
    <t>Minimise Losses With Hedging | Why Should You Hedge? | Hedging Trading Strategy</t>
  </si>
  <si>
    <t>https://www.youtube.com/watch?v=3t6tisQ3Yrk</t>
  </si>
  <si>
    <t>3t6tisQ3Yrk</t>
  </si>
  <si>
    <t>Minimise Losses With Hedging | Why Should You Hedge? | Hedging Trading Strategy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Kirubakaran Rajendran
Date: June 18, 2023
#trading #stockmarket #hedging</t>
  </si>
  <si>
    <t>https://i.ytimg.com/vi/3t6tisQ3Yrk/hqdefault.jpg</t>
  </si>
  <si>
    <t>How To Use Google Bard For Trading | Bard Twitter Sentiment Analysis | Bard Trading Analysis</t>
  </si>
  <si>
    <t>https://www.youtube.com/watch?v=geSZf8qVcLM</t>
  </si>
  <si>
    <t>geSZf8qVcLM</t>
  </si>
  <si>
    <t>How To Use Google Bard For Trading | Bard Twitter Sentiment Analysis | Bard Trading Analysis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June 15, 2023
#trading #googlebard #aitrading</t>
  </si>
  <si>
    <t>https://i.ytimg.com/vi/geSZf8qVcLM/hqdefault.jpg</t>
  </si>
  <si>
    <t>How To Trade On Events? | Event Driven Trading Strategy | News Based Intraday Trading</t>
  </si>
  <si>
    <t>https://www.youtube.com/watch?v=FQgc8SBQJns</t>
  </si>
  <si>
    <t>FQgc8SBQJns</t>
  </si>
  <si>
    <t>How To Trade On Events? | Event Driven Trading Strategy | News Based Intraday Trading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Aakash Baid
Name of the narrator: Aseem Singhal
Date: June 10, 2023
#trading #stockmarket #stockmarketindia</t>
  </si>
  <si>
    <t>https://i.ytimg.com/vi/FQgc8SBQJns/hqdefault.jpg</t>
  </si>
  <si>
    <t>How To Set Price Alerts On Groww</t>
  </si>
  <si>
    <t>https://www.youtube.com/watch?v=8tzM8lrmN9o</t>
  </si>
  <si>
    <t>8tzM8lrmN9o</t>
  </si>
  <si>
    <t>How To Set Price Alerts On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#groww #alerts</t>
  </si>
  <si>
    <t>https://i.ytimg.com/vi/8tzM8lrmN9o/hqdefault.jpg</t>
  </si>
  <si>
    <t>Stop Loss Kaise Lagaye ? | Top 4 Way To Put Up a Stoploss | Stoploss Trading</t>
  </si>
  <si>
    <t>https://www.youtube.com/watch?v=Y5kduUrtFK0</t>
  </si>
  <si>
    <t>Y5kduUrtFK0</t>
  </si>
  <si>
    <t>Stop Loss Kaise Lagaye ? | Top 4 Way To Put Up a Stoploss | Stoploss Trading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#stoploss</t>
  </si>
  <si>
    <t>https://i.ytimg.com/vi/Y5kduUrtFK0/hqdefault.jpg</t>
  </si>
  <si>
    <t>Best Candlestick Patterns To Trade | Trading For Beginners</t>
  </si>
  <si>
    <t>https://www.youtube.com/watch?v=lXC0dbmEaW8</t>
  </si>
  <si>
    <t>lXC0dbmEaW8</t>
  </si>
  <si>
    <t>Best Candlestick Patterns To Trade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#candlestickpattern #trading #stockmarket</t>
  </si>
  <si>
    <t>https://i.ytimg.com/vi/lXC0dbmEaW8/hqdefault.jpg</t>
  </si>
  <si>
    <t>Intraday Option Selling Strategy For Finnifty | Option Selling Strategies With Kirubakaran Rajendran</t>
  </si>
  <si>
    <t>https://www.youtube.com/watch?v=5-QB5Fg9f8I</t>
  </si>
  <si>
    <t>5-QB5Fg9f8I</t>
  </si>
  <si>
    <t>Intraday Option Selling Strategy For Finnifty | Option Selling Strategies With Kirubakaran Rajendran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#finnifty</t>
  </si>
  <si>
    <t>https://i.ytimg.com/vi/5-QB5Fg9f8I/hqdefault.jpg</t>
  </si>
  <si>
    <t>Top 2 VWAP Trading Strategies | Intraday Trading Strategy | Trading For Beginners</t>
  </si>
  <si>
    <t>https://www.youtube.com/watch?v=bm09ZP-LY20</t>
  </si>
  <si>
    <t>bm09ZP-LY20</t>
  </si>
  <si>
    <t>Top 2 VWAP Trading Strategies | Intraday Trading Strategy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#vwap #trading #intradaytrading</t>
  </si>
  <si>
    <t>https://i.ytimg.com/vi/bm09ZP-LY20/hqdefault.jpg</t>
  </si>
  <si>
    <t>Simple Trading Strategy With Mukul Agrawal | Trading For Beginners</t>
  </si>
  <si>
    <t>https://www.youtube.com/watch?v=A0fvgwxNh2Y</t>
  </si>
  <si>
    <t>A0fvgwxNh2Y</t>
  </si>
  <si>
    <t>Simple Trading Strategy With Mukul Agrawal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Mukul Agrawal
Date: 30 May 2023
#mukulagarwal #trading #stockmarket</t>
  </si>
  <si>
    <t>https://i.ytimg.com/vi/A0fvgwxNh2Y/hqdefault.jpg</t>
  </si>
  <si>
    <t>Option Greeks Explained In Detail: Delta Theta Gamma And Vega | Option Trading For Beginners</t>
  </si>
  <si>
    <t>https://www.youtube.com/watch?v=y7Jg6vLkNSU</t>
  </si>
  <si>
    <t>y7Jg6vLkNSU</t>
  </si>
  <si>
    <t>Option Greeks Explained In Detail: Delta Theta Gamma And Vega | Option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Kirubakran Rajendran
Date: May 28, 2023
#trading #optionstrading #stockmarket</t>
  </si>
  <si>
    <t>https://i.ytimg.com/vi/y7Jg6vLkNSU/hqdefault.jpg</t>
  </si>
  <si>
    <t>Breakout Trading Strategy To Enter-Exit A Trade | VCP Pattern Trading | Trading For Beginners</t>
  </si>
  <si>
    <t>https://www.youtube.com/watch?v=-mHuZaU9dg4</t>
  </si>
  <si>
    <t>-mHuZaU9dg4</t>
  </si>
  <si>
    <t>Breakout Trading Strategy To Enter-Exit A Trade | VCP Pattern Trading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May 25, 2023
#trading #stockmarket #breakouttrading</t>
  </si>
  <si>
    <t>https://i.ytimg.com/vi/-mHuZaU9dg4/hqdefault.jpg</t>
  </si>
  <si>
    <t>How To Use ChatGPT For Trading? | ChatGPT Trading Strategy | Trading For Beginners</t>
  </si>
  <si>
    <t>https://www.youtube.com/watch?v=jpSuL17ZTnM</t>
  </si>
  <si>
    <t>jpSuL17ZTnM</t>
  </si>
  <si>
    <t>How To Use ChatGPT For Trading? | ChatGPT Trading Strategy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May 23, 2023
#trading #stockmarket #stockmarketindia</t>
  </si>
  <si>
    <t>https://i.ytimg.com/vi/jpSuL17ZTnM/hqdefault.jpg</t>
  </si>
  <si>
    <t>LEAVE Job To Become a Full Time Trader? | When To Start Full Time Trading? | Trading For Beginners</t>
  </si>
  <si>
    <t>https://www.youtube.com/watch?v=OhcSjEYeNxA</t>
  </si>
  <si>
    <t>OhcSjEYeNxA</t>
  </si>
  <si>
    <t>LEAVE Job To Become a Full Time Trader? | When To Start Full Time Trading? | Trading For Beginners
Twitter Handle - https://twitter.com/TradeWithGroww_
Instagram Handle - https://www.instagram.com/tradingwithgroww/
0:00-0:55 Introduction
0:56 - Why you want to become a full time trader
1:54-2:40 Need patience and passion
2:41-4:39 Set your expectations correctly
4:40-5:03 Trading is a long time journey
5:03-8:59 Do not depend on trading income initially
9:00-9:45 Ideal capital to start
9:46-11:23 Ideal returns expectation
11:24-12:52 Clear all your debts before you start full time trading
12:53-15:39 Story of milo
15:40-16:52 Focus on consistency
16:53-17:22 Outro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Kirubakaran Rajendran
Date: May 21, 2023</t>
  </si>
  <si>
    <t>https://i.ytimg.com/vi/OhcSjEYeNxA/hqdefault.jpg</t>
  </si>
  <si>
    <t>Chart Pattern Analysis | Types Of Chart Patterns | Candlestick Patterns | Trading For Beginners</t>
  </si>
  <si>
    <t>https://www.youtube.com/watch?v=UEcMz14481k</t>
  </si>
  <si>
    <t>UEcMz14481k</t>
  </si>
  <si>
    <t>Chart Pattern Analysis | Types Of Chart Patterns | Candlestick Patterns | Trading For Beginners
Twitter Handle - https://twitter.com/TradeWithGroww_
Instagram Handle - https://www.instagram.com/tradingwithgroww/
0:00-1:00 Intro
1:01-3:55 Cup and handle pattern
3:56-5:35 Head and shoulders pattern
5:36-9:55 Double top and double bottom pattern
9:56-10:56 Recap
10:57-11:38 Outro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Tanisha Garg
Date: May 18, 2023
#trading #stockmarket #stockmarketindia</t>
  </si>
  <si>
    <t>https://i.ytimg.com/vi/UEcMz14481k/hqdefault.jpg</t>
  </si>
  <si>
    <t>Fibonacci Retracement Trading Strategy | Pullback Based Share Trade | Trading With Groww</t>
  </si>
  <si>
    <t>https://www.youtube.com/watch?v=SO_zYcHECYQ</t>
  </si>
  <si>
    <t>SO_zYcHECYQ</t>
  </si>
  <si>
    <t>Fibonacci Retracement Trading Strategy | Pullback Based Share Trade | Trading With Groww
0:00-1:16 Intro
1:17-2:13 Using fibonacci retracement for entry
2:14-3:53 How to draw fibonacci retracement
3:54-5:38 Long entry
5:39-7:28 Using moving average to improve accuracy
7:29-10:49 Short entry
10:50-11:47 Outro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May 16, 2023</t>
  </si>
  <si>
    <t>https://i.ytimg.com/vi/SO_zYcHECYQ/hqdefault.jpg</t>
  </si>
  <si>
    <t>What Is Trend Following? | Trend Following Strategies | Technical Analysis For Beginners</t>
  </si>
  <si>
    <t>https://www.youtube.com/watch?v=vPTt6z0Muqk</t>
  </si>
  <si>
    <t>vPTt6z0Muqk</t>
  </si>
  <si>
    <t>What Is Trend Following? | Trend Following Strategies | Technical Analysis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May 13, 2023</t>
  </si>
  <si>
    <t>https://i.ytimg.com/vi/vPTt6z0Muqk/hqdefault.jpg</t>
  </si>
  <si>
    <t>How To Trade In Low India VIX? | India VIX Trading Strategy | Options Trading For Beginners</t>
  </si>
  <si>
    <t>https://www.youtube.com/watch?v=yVlFF0ckVXY</t>
  </si>
  <si>
    <t>yVlFF0ckVXY</t>
  </si>
  <si>
    <t>How To Trade In Low India VIX? | India VIX Trading Strategy | Options Trading For Beginners
0:00-0:44 Introduction
0:48-2:23 India VIX Value
2:25-2:52 Nifty Co-relation with India VIX
2:53-10:25 Calendar spread strategy
10:26-11:20 Outro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#indiavix</t>
  </si>
  <si>
    <t>https://i.ytimg.com/vi/yVlFF0ckVXY/hqdefault.jpg</t>
  </si>
  <si>
    <t>Algo Trading Strategies For Beginners With Kirubakaran Rajendran | How To Setup Full Explanation</t>
  </si>
  <si>
    <t>https://www.youtube.com/watch?v=Hi2jc2iH0fA</t>
  </si>
  <si>
    <t>Hi2jc2iH0fA</t>
  </si>
  <si>
    <t>Algo Trading Strategies For Beginners With Kirubakaran Rajendran | How To Setup Full Explanation
0:00-0:40- Introduction
0:41-2:35 - What is algo trading and how to start
2:35-3:12 - Discretionary trading
3:09-4:22 - Yes bank
4:23-6:22 - Historical analysis
8:20-9:55 - Emotions in trading
9:56-10:54 - Data crunching
10:55-11:50 - How to get started
11:52-12:30 - Coding and trading
12:32-13:22 - Backtesting platforms
13:24-14:25 - Learning resources
14:26-16:34 - Developing a strategy
16:36-17:26 - Backtesting the strategy
17:27-18:33 - Deploying Capital
18:34-19:05 - Number of trades
19:06-20:06 - Monitoring the trades
20:06-21:55 - Curve fitting the data
21:56-22:22 Outcomes are random in nature
22:22-23:08 Future of trading
23:09-23:15 Outro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#algotrading</t>
  </si>
  <si>
    <t>https://i.ytimg.com/vi/Hi2jc2iH0fA/hqdefault.jpg</t>
  </si>
  <si>
    <t>Option Buying Strategy | Options Trading For Beginners | Trading Ki Baat With Jaynesh Kasliwal</t>
  </si>
  <si>
    <t>https://www.youtube.com/watch?v=XEXadVFPK3k</t>
  </si>
  <si>
    <t>XEXadVFPK3k</t>
  </si>
  <si>
    <t>Option Buying Strategy | Options Trading For Beginners | Trading Ki Baat With Jaynesh Kasliwal
00:00-00:32 - Introduction
00:32-1:46 - Jaynesh's Trading Journey
1:46-2:42 - What is a rule based trading strategy
2:42-9:24 - What trading strategy are we going to discuss today
9:24-13:20 - Rules of the 3pm Breakout Strategy
13:20-18:20 - Which option to buy and what is the stoploss?
18:20-24:03 - Backtest results
24:03-25:11 - Money Management Rules
25:11-27:50 - Live system results
27:50-29:40 - What should one keep in mind before using option buying strategy
29:40-31:25 - Outro
Stockmock Strategy Link - https://www.stockmock.in/#!/share/2pq9vdph
PDF Link - https://bit.ly/3pmStrategyPDF
Jaynesh Twitter handle - https://twitter.com/JayneshKasliwal
Trading with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#optionbuying</t>
  </si>
  <si>
    <t>https://i.ytimg.com/vi/XEXadVFPK3k/hqdefault.jpg</t>
  </si>
  <si>
    <t>How To Draw Trendlines | Trendline Trading Strategy | Support And Resistance | Trading For Beginners</t>
  </si>
  <si>
    <t>https://www.youtube.com/watch?v=jGcJRbB-7gg</t>
  </si>
  <si>
    <t>jGcJRbB-7gg</t>
  </si>
  <si>
    <t>How To Draw Trendlines | Trendline Trading Strategy | Support And Resistance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#trendline</t>
  </si>
  <si>
    <t>https://i.ytimg.com/vi/jGcJRbB-7gg/hqdefault.jpg</t>
  </si>
  <si>
    <t>What Is Price Action? | Price Action Trading Rules | Trading with Groww</t>
  </si>
  <si>
    <t>https://www.youtube.com/watch?v=mtud6N89uSs</t>
  </si>
  <si>
    <t>mtud6N89uSs</t>
  </si>
  <si>
    <t>What Is Price Action? | Price Action Trading Rules | Trading with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#priceaction</t>
  </si>
  <si>
    <t>https://i.ytimg.com/vi/mtud6N89uSs/hqdefault.jpg</t>
  </si>
  <si>
    <t>How To Place Large Quantity Orders In One Click On Groww</t>
  </si>
  <si>
    <t>https://www.youtube.com/watch?v=Mz-EbcUN3N0</t>
  </si>
  <si>
    <t>Mz-EbcUN3N0</t>
  </si>
  <si>
    <t>How To Place Large Quantity Orders In One Click On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#groww #growwapp #orderslicing</t>
  </si>
  <si>
    <t>https://i.ytimg.com/vi/Mz-EbcUN3N0/hqdefault.jpg</t>
  </si>
  <si>
    <t>Paper Trading For Beginners | Tradingview Paper Trading | Should You Do Paper Trading?</t>
  </si>
  <si>
    <t>https://www.youtube.com/watch?v=L077kJVZI5w</t>
  </si>
  <si>
    <t>L077kJVZI5w</t>
  </si>
  <si>
    <t>Paper Trading For Beginners | Tradingview Paper Trading | Should You Do Paper Trading?
0:00 Disclaimer
0:05 Introduction
0:41 What is paper trading?
1:17 Advantages of paper trading
3:37 Disadvantages 
6:18 Examples
8:46 Tips for best results
11:17 Conclusion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#trading #stockmarket #papertrading</t>
  </si>
  <si>
    <t>https://i.ytimg.com/vi/L077kJVZI5w/hqdefault.jpg</t>
  </si>
  <si>
    <t>How To Do Momentum Trading? | Momentum Trading Strategies | Option Buying Strategy For Intraday</t>
  </si>
  <si>
    <t>https://www.youtube.com/watch?v=vyQMvszU-7M</t>
  </si>
  <si>
    <t>vyQMvszU-7M</t>
  </si>
  <si>
    <t>How To Do Momentum Trading? | Momentum Trading Strategies | Option Buying Strategy For Intraday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Mutual Funds at Groww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#optionstrading</t>
  </si>
  <si>
    <t>https://i.ytimg.com/vi/vyQMvszU-7M/hqdefault.jpg</t>
  </si>
  <si>
    <t>Inside Bar Strategy with Vibhor Varshney | Inside Candle Intraday Strategy | Trading Ki Baat</t>
  </si>
  <si>
    <t>https://www.youtube.com/watch?v=AZqudV39rMw</t>
  </si>
  <si>
    <t>AZqudV39rMw</t>
  </si>
  <si>
    <t>Inside Bar Strategy with Vibhor Varshney | Inside Candle Intraday Strategy | Trading Ki Baat
Vibhor's Twitter Handle - https://twitter.com/nakulvibhor
Vibhor's YouTube Handle - https://www.youtube.com/@VibhorVarshney/videos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#insidebar #candlestickpattern #trading</t>
  </si>
  <si>
    <t>https://i.ytimg.com/vi/AZqudV39rMw/hqdefault.jpg</t>
  </si>
  <si>
    <t>Weekly Options Trading | How To Trade Weekly Options | Options Trading For Beginners</t>
  </si>
  <si>
    <t>https://www.youtube.com/watch?v=U-SPGk4KIPE</t>
  </si>
  <si>
    <t>U-SPGk4KIPE</t>
  </si>
  <si>
    <t>Weekly Options Trading | How To Trade Weekly Options | Options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#optionstrading</t>
  </si>
  <si>
    <t>https://i.ytimg.com/vi/U-SPGk4KIPE/hqdefault.jpg</t>
  </si>
  <si>
    <t>How To Do Gap Trading | Gap Up and Gap Down Strategy | Trading with Groww</t>
  </si>
  <si>
    <t>https://www.youtube.com/watch?v=s0imnGs3JrQ</t>
  </si>
  <si>
    <t>s0imnGs3JrQ</t>
  </si>
  <si>
    <t>How To Do Gap Trading | Gap Up and Gap Down Strategy | Trading with Groww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#gaptrading</t>
  </si>
  <si>
    <t>https://i.ytimg.com/vi/s0imnGs3JrQ/hqdefault.jpg</t>
  </si>
  <si>
    <t>Positional Trading Strategy | Trading For Beginners | Rishikesh Singh Equity4life</t>
  </si>
  <si>
    <t>https://www.youtube.com/watch?v=z9OO2y0bUD8</t>
  </si>
  <si>
    <t>z9OO2y0bUD8</t>
  </si>
  <si>
    <t>Positional Trading Strategy | Trading For Beginners | Rishikesh Singh Equity4life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#positionaltradingstrategy #positionaltrading #stockmarket</t>
  </si>
  <si>
    <t>https://i.ytimg.com/vi/z9OO2y0bUD8/hqdefault.jpg</t>
  </si>
  <si>
    <t>Trading With Full Time Job | Job Ke Sath Trading Kaise Kare | Trading and Job Together</t>
  </si>
  <si>
    <t>https://www.youtube.com/watch?v=5SMxHDj9Ux4</t>
  </si>
  <si>
    <t>5SMxHDj9Ux4</t>
  </si>
  <si>
    <t>Trading With Full Time Job | Job Ke Sath Trading Kaise Kare | Trading and Job Together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#job #stockmarket</t>
  </si>
  <si>
    <t>https://i.ytimg.com/vi/5SMxHDj9Ux4/hqdefault.jpg</t>
  </si>
  <si>
    <t>Option Selling With Low Capital | Trading with Groww | Option Selling Strategies</t>
  </si>
  <si>
    <t>https://www.youtube.com/watch?v=RiXl8SHrXaU</t>
  </si>
  <si>
    <t>RiXl8SHrXaU</t>
  </si>
  <si>
    <t>Option Selling With Low Capital | Trading with Groww | Option Selling Strategies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#optionstrading #optionselling #stockmarket</t>
  </si>
  <si>
    <t>https://i.ytimg.com/vi/RiXl8SHrXaU/hqdefault.jpg</t>
  </si>
  <si>
    <t>Price Action with Kiran Bala | Option Buying strategy | Support and Resistance at Trading ki Baat</t>
  </si>
  <si>
    <t>https://www.youtube.com/watch?v=Q1mr-SsjcJ8</t>
  </si>
  <si>
    <t>Q1mr-SsjcJ8</t>
  </si>
  <si>
    <t>Price action with Kiran Bala | option buying strategy | Support and Resistance at Trading ki Baat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#priceaction #optionstrading #optionbuying</t>
  </si>
  <si>
    <t>https://i.ytimg.com/vi/Q1mr-SsjcJ8/hqdefault.jpg</t>
  </si>
  <si>
    <t>Should You Pledge Shares For Margin? | Pledging | Stock market For Beginners</t>
  </si>
  <si>
    <t>https://www.youtube.com/watch?v=AmS6Kr-4G48</t>
  </si>
  <si>
    <t>AmS6Kr-4G48</t>
  </si>
  <si>
    <t>Should You Pledge Shares For Margin? | Pledging | Stock market For Beginners
Twitter Handle - https://twitter.com/TradeWithGroww_
Instagram Handle - https://www.instagram.com/tradingwithgroww/
0:00 Disclaimer
0:05 What is share pledging?
0:44 Gold example 
1:40 Benefits
4:55 Practical example
6:58 Disadvantages
9:54 Conclusion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#trading #stockmarket #stockmarketindia</t>
  </si>
  <si>
    <t>https://i.ytimg.com/vi/AmS6Kr-4G48/hqdefault.jpg</t>
  </si>
  <si>
    <t>Monthly Options For Monthly Income | Weekly vs Monthly Options | How To Trade Options</t>
  </si>
  <si>
    <t>https://www.youtube.com/watch?v=1LVv3uj3hPo</t>
  </si>
  <si>
    <t>1LVv3uj3hPo</t>
  </si>
  <si>
    <t>Monthly Options For Monthly Income | Weekly vs Monthly Options | How To Trade Options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#optionstrading</t>
  </si>
  <si>
    <t>https://i.ytimg.com/vi/1LVv3uj3hPo/hqdefault.jpg</t>
  </si>
  <si>
    <t>Swing trading strategies with Bharat Jhunjhunwala | Trading ki Baat | RSI indicator explained</t>
  </si>
  <si>
    <t>https://www.youtube.com/watch?v=GN2n73TtNtw</t>
  </si>
  <si>
    <t>GN2n73TtNtw</t>
  </si>
  <si>
    <t>Swing trading strategies with Bharat Jhunjhunwala | Trading ki Baat | RSI indicator explained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#trading #stockmarket #rsistrategy</t>
  </si>
  <si>
    <t>https://i.ytimg.com/vi/GN2n73TtNtw/hqdefault.jpg</t>
  </si>
  <si>
    <t>Cpr trading strategy - Central Pivot Range | intraday trading strategies | pivot points</t>
  </si>
  <si>
    <t>https://www.youtube.com/watch?v=mTOv_miz0UU</t>
  </si>
  <si>
    <t>mTOv_miz0UU</t>
  </si>
  <si>
    <t>cpr trading strategy - Central Pivot Range | intraday trading strategies | pivot points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#cprindicator</t>
  </si>
  <si>
    <t>https://i.ytimg.com/vi/mTOv_miz0UU/hqdefault.jpg</t>
  </si>
  <si>
    <t>More to pay on trading transactions? | stt charges in share market | futures and options</t>
  </si>
  <si>
    <t>https://www.youtube.com/watch?v=v0jNDYjOrs4</t>
  </si>
  <si>
    <t>v0jNDYjOrs4</t>
  </si>
  <si>
    <t>More to pay on trading transactions? | stt charges in share market | futures and options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#sebi</t>
  </si>
  <si>
    <t>https://i.ytimg.com/vi/v0jNDYjOrs4/hqdefault.jpg</t>
  </si>
  <si>
    <t>How To Use Pivot Point Trading Strategy ? | Pivot Point Indicator</t>
  </si>
  <si>
    <t>https://www.youtube.com/watch?v=1tZ2dzWjFxI</t>
  </si>
  <si>
    <t>1tZ2dzWjFxI</t>
  </si>
  <si>
    <t>How To Use Pivot Point Trading Strategy ? | Pivot Point Indicator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#pivotpoints #stockmarket</t>
  </si>
  <si>
    <t>https://i.ytimg.com/vi/1tZ2dzWjFxI/hqdefault.jpg</t>
  </si>
  <si>
    <t>VWAP Trading Strategy | Intraday Trading Strategies</t>
  </si>
  <si>
    <t>https://www.youtube.com/watch?v=eeuetQa67Os</t>
  </si>
  <si>
    <t>eeuetQa67Os</t>
  </si>
  <si>
    <t>VWAP Trading Strategy | Intraday Trading Strategies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#vwap #intradaytrading #trading</t>
  </si>
  <si>
    <t>https://i.ytimg.com/vi/eeuetQa67Os/hqdefault.jpg</t>
  </si>
  <si>
    <t>Stoploss Hunting In Intraday Trading | Trading Ki Baat | Trading For Beginners</t>
  </si>
  <si>
    <t>https://www.youtube.com/watch?v=4Fqq_N_0woM</t>
  </si>
  <si>
    <t>4Fqq_N_0woM</t>
  </si>
  <si>
    <t>Stoploss Hunting In Intraday Trading | Trading Ki Baat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#stoploss #slhunting #trading</t>
  </si>
  <si>
    <t>https://i.ytimg.com/vi/4Fqq_N_0woM/hqdefault.jpg</t>
  </si>
  <si>
    <t>What is put call ratio trading strategy  | Option trading strategy | Trading for beginners</t>
  </si>
  <si>
    <t>https://www.youtube.com/watch?v=SPHhPDR-Xl4</t>
  </si>
  <si>
    <t>SPHhPDR-Xl4</t>
  </si>
  <si>
    <t>What is put call ratio trading strategy  | Option trading strategy |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#putcallratio #trading #stockmarket</t>
  </si>
  <si>
    <t>https://i.ytimg.com/vi/SPHhPDR-Xl4/hqdefault.jpg</t>
  </si>
  <si>
    <t>Futures and Options in Share Market | Futures Trading | Options Trading For Beginners</t>
  </si>
  <si>
    <t>https://www.youtube.com/watch?v=iAO45RNkVgw</t>
  </si>
  <si>
    <t>iAO45RNkVgw</t>
  </si>
  <si>
    <t>futures and options in share market | futures trading | options trading for beginners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#futurestrading #optionstrading #trading</t>
  </si>
  <si>
    <t>https://i.ytimg.com/vi/iAO45RNkVgw/hqdefault.jpg</t>
  </si>
  <si>
    <t>Why 89% Traders Fail | Do's and Don'ts of trading | sebi latest news</t>
  </si>
  <si>
    <t>https://www.youtube.com/watch?v=Te33kVOpg78</t>
  </si>
  <si>
    <t>Te33kVOpg78</t>
  </si>
  <si>
    <t>Why 89% Traders Fail | Do's and Don'ts of trading | sebi latest news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#sebi #trading #stockmarket</t>
  </si>
  <si>
    <t>https://i.ytimg.com/vi/Te33kVOpg78/hqdefault.jpg</t>
  </si>
  <si>
    <t>How To Trade In Sideways Market</t>
  </si>
  <si>
    <t>https://www.youtube.com/watch?v=MtIJZTFrmf8</t>
  </si>
  <si>
    <t>MtIJZTFrmf8</t>
  </si>
  <si>
    <t>How To Trade In Sideways Market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#sidewaysmarket #trading #stockmarket</t>
  </si>
  <si>
    <t>https://i.ytimg.com/vi/MtIJZTFrmf8/hqdefault.jpg</t>
  </si>
  <si>
    <t>Powerful Straddle Trading Strategy | Trading Ki Baat with Saketh Ramakrishna</t>
  </si>
  <si>
    <t>https://www.youtube.com/watch?v=AlFXQvlzLUg</t>
  </si>
  <si>
    <t>AlFXQvlzLUg</t>
  </si>
  <si>
    <t>Powerful Straddle Trading Strategy | Trading Ki Baat with Saketh Ramakrishna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#straddlestrategy #stranglestrategy #trading</t>
  </si>
  <si>
    <t>https://i.ytimg.com/vi/AlFXQvlzLUg/hqdefault.jpg</t>
  </si>
  <si>
    <t>Hedging Trading Strategy For Maximum Profits</t>
  </si>
  <si>
    <t>https://www.youtube.com/watch?v=B5lZ-B05f88</t>
  </si>
  <si>
    <t>B5lZ-B05f88</t>
  </si>
  <si>
    <t>Hedging Trading Strategy For Maximum Profits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#hedging #hedgingstrategy #trading</t>
  </si>
  <si>
    <t>https://i.ytimg.com/vi/B5lZ-B05f88/hqdefault.jpg</t>
  </si>
  <si>
    <t>How To Select Strike Price In Options</t>
  </si>
  <si>
    <t>https://www.youtube.com/watch?v=YClI9XqJALg</t>
  </si>
  <si>
    <t>YClI9XqJALg</t>
  </si>
  <si>
    <t>How To Select Strike Price In Options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#strikeprice #optionstrading #trading</t>
  </si>
  <si>
    <t>https://i.ytimg.com/vi/YClI9XqJALg/hqdefault.jpg</t>
  </si>
  <si>
    <t>Trading Ki Baat with Kapil Agarwal | How Trading Mindset &amp; Psychology Brings In Profits</t>
  </si>
  <si>
    <t>https://www.youtube.com/watch?v=W58JXVDqeEU</t>
  </si>
  <si>
    <t>W58JXVDqeEU</t>
  </si>
  <si>
    <t>Trading Ki Baat with Kapil Agarwal | How Trading Mindset &amp; Psychology Brings In Profits
Twitter Handle - https://twitter.com/TradeWithGroww_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#riskmanagement #trading #stockmarket</t>
  </si>
  <si>
    <t>https://i.ytimg.com/vi/W58JXVDqeEU/hqdefault.jpg</t>
  </si>
  <si>
    <t>Calendar Spread Option Strategy &amp; Adjustments</t>
  </si>
  <si>
    <t>https://www.youtube.com/watch?v=5kUY3rmGSzc</t>
  </si>
  <si>
    <t>5kUY3rmGSzc</t>
  </si>
  <si>
    <t>Calendar Spread Options Strategy &amp; Adjustments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#calendarspread #trading #stockmarket</t>
  </si>
  <si>
    <t>https://i.ytimg.com/vi/5kUY3rmGSzc/hqdefault.jpg</t>
  </si>
  <si>
    <t>Trading Hours EXTENDED? | Impact of Extended Trading Hours</t>
  </si>
  <si>
    <t>https://www.youtube.com/watch?v=cps7sgxZc6c</t>
  </si>
  <si>
    <t>cps7sgxZc6c</t>
  </si>
  <si>
    <t>Trading Hours EXTENDED? | Impact of Extended Trading Hours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#extendedtradinghours #trading #sebi</t>
  </si>
  <si>
    <t>https://i.ytimg.com/vi/cps7sgxZc6c/hqdefault.jpg</t>
  </si>
  <si>
    <t>How To Improve Trading Psychology</t>
  </si>
  <si>
    <t>https://www.youtube.com/watch?v=f0jOosRhu_c</t>
  </si>
  <si>
    <t>f0jOosRhu_c</t>
  </si>
  <si>
    <t>How To Improve Trading Psychology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#tradingpsychology #stockmarket</t>
  </si>
  <si>
    <t>https://i.ytimg.com/vi/f0jOosRhu_c/hqdefault.jpg</t>
  </si>
  <si>
    <t>Pair Trading Strategy For Maximum Profits</t>
  </si>
  <si>
    <t>https://www.youtube.com/watch?v=Oy35fu4qdPI</t>
  </si>
  <si>
    <t>Oy35fu4qdPI</t>
  </si>
  <si>
    <t>Pair Trading Strategy For Maximum Profits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14 feb, 23
#pairtrading #niftystrategy #bankniftystrategy</t>
  </si>
  <si>
    <t>https://i.ytimg.com/vi/Oy35fu4qdPI/hqdefault.jpg</t>
  </si>
  <si>
    <t>Chartered Accountant To Full Time Trader | Trading Ki Baat With Sachin Saluja</t>
  </si>
  <si>
    <t>https://www.youtube.com/watch?v=0gNgYpnOLes</t>
  </si>
  <si>
    <t>0gNgYpnOLes</t>
  </si>
  <si>
    <t>Chartered Accountant To Full Time Trader | Trading Ki Baat With Sachin Saluja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#tradingkibaat #stockmarket #tradingforliving</t>
  </si>
  <si>
    <t>https://i.ytimg.com/vi/0gNgYpnOLes/hqdefault.jpg</t>
  </si>
  <si>
    <t>Relative Strength Trading Strategy For Higher Accuracy</t>
  </si>
  <si>
    <t>https://www.youtube.com/watch?v=KO2pX_J1-Ww</t>
  </si>
  <si>
    <t>KO2pX_J1-Ww</t>
  </si>
  <si>
    <t>Relative Strength Trading Strategy For Higher Accuracy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9 Feb, 2023.
#trading #stockmarket #relativestrength</t>
  </si>
  <si>
    <t>https://i.ytimg.com/vi/KO2pX_J1-Ww/hqdefault.jpg</t>
  </si>
  <si>
    <t>India VIX Trading Strategies For More Profits</t>
  </si>
  <si>
    <t>https://www.youtube.com/watch?v=AFf0wjiREkw</t>
  </si>
  <si>
    <t>AFf0wjiREkw</t>
  </si>
  <si>
    <t>India VIX Trading Strategies For More Profits
Instagram Handle - https://www.instagram.com/tradingwithgroww/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</si>
  <si>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https://i.ytimg.com/vi/AFf0wjiREkw/hqdefault.jpg</t>
  </si>
  <si>
    <t>INCREASE Returns With LOWER Risk | Trading Ki Baat With Aamodh Kuthethur</t>
  </si>
  <si>
    <t>https://www.youtube.com/watch?v=nzmOmkFYHDA</t>
  </si>
  <si>
    <t>nzmOmkFYHDA</t>
  </si>
  <si>
    <t>INCREASE Returns With LOWER Risk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#tradingkibaat #stockmarket</t>
  </si>
  <si>
    <t>https://i.ytimg.com/vi/nzmOmkFYHDA/hqdefault.jpg</t>
  </si>
  <si>
    <t>Commodity Trading For Beginners | How To Trade In Commodity Market?</t>
  </si>
  <si>
    <t>https://www.youtube.com/watch?v=VnDyf9Syuk4</t>
  </si>
  <si>
    <t>VnDyf9Syuk4</t>
  </si>
  <si>
    <t>Link to join the Commodity Trading Waitlist: https://trygroww.typeform.com/to/MMXVCDAR
on Groww
Commodity Trading For Beginners | How To Trade In Commodity Market?
0:00 Disclaimer
0:05 Introduction
0:40 What are commodities?
4:54 Crude oil strategy
8:59 Gold strategy
14:08 Conclusion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#commoditymarket #commoditytrading #trading</t>
  </si>
  <si>
    <t>https://i.ytimg.com/vi/VnDyf9Syuk4/hqdefault.jpg</t>
  </si>
  <si>
    <t>Will Adani Stocks CRASH Further? | Adani share latest news</t>
  </si>
  <si>
    <t>https://www.youtube.com/watch?v=jPEUiAFpD9c</t>
  </si>
  <si>
    <t>jPEUiAFpD9c</t>
  </si>
  <si>
    <t>Will Adani Stocks CRASH Further? | Adani share latest news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30 Jan, 2023.
#adani #trading #hindenburgreport</t>
  </si>
  <si>
    <t>https://i.ytimg.com/vi/jPEUiAFpD9c/hqdefault.jpg</t>
  </si>
  <si>
    <t>Budget Day Trading Strategy | Budget 2023 Option Strategy</t>
  </si>
  <si>
    <t>https://www.youtube.com/watch?v=SuuSKsDd2I8</t>
  </si>
  <si>
    <t>SuuSKsDd2I8</t>
  </si>
  <si>
    <t>Budget Day Trading Strategy | Budget 2023 Option Strategy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#budget2023 #trading #stockmarket</t>
  </si>
  <si>
    <t>https://i.ytimg.com/vi/SuuSKsDd2I8/hqdefault.jpg</t>
  </si>
  <si>
    <t>How To Trade With Low Capital In Stock Market</t>
  </si>
  <si>
    <t>https://www.youtube.com/watch?v=gqRxK4BcMKE</t>
  </si>
  <si>
    <t>gqRxK4BcMKE</t>
  </si>
  <si>
    <t>How To Trade With Low Capital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#stocks</t>
  </si>
  <si>
    <t>https://i.ytimg.com/vi/gqRxK4BcMKE/hqdefault.jpg</t>
  </si>
  <si>
    <t>How To Do Intraday Option Trading In Nifty | Intraday Trading Tips</t>
  </si>
  <si>
    <t>https://www.youtube.com/watch?v=dztBf1qcb_k</t>
  </si>
  <si>
    <t>dztBf1qcb_k</t>
  </si>
  <si>
    <t>Intraday Options Trading Kaise Karni Chahiye?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#intraday #intradaytrading #trading</t>
  </si>
  <si>
    <t>https://i.ytimg.com/vi/dztBf1qcb_k/hqdefault.jpg</t>
  </si>
  <si>
    <t>Can Penny Stocks Give Multibagger Returns?</t>
  </si>
  <si>
    <t>https://www.youtube.com/watch?v=cNltvnJJsGU</t>
  </si>
  <si>
    <t>cNltvnJJsGU</t>
  </si>
  <si>
    <t>Penny Stocks Can Give Multibagger Returns?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18 Jan, 2023.</t>
  </si>
  <si>
    <t>https://i.ytimg.com/vi/cNltvnJJsGU/hqdefault.jpg</t>
  </si>
  <si>
    <t>When To Avoid Trading</t>
  </si>
  <si>
    <t>https://www.youtube.com/watch?v=2bNPu_RtBuw</t>
  </si>
  <si>
    <t>2bNPu_RtBuw</t>
  </si>
  <si>
    <t>When To Avoid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#stockmarket #stocks</t>
  </si>
  <si>
    <t>https://i.ytimg.com/vi/2bNPu_RtBuw/hqdefault.jpg</t>
  </si>
  <si>
    <t>Learn Systematic Trading &amp; Become Profitable!</t>
  </si>
  <si>
    <t>https://www.youtube.com/watch?v=rdVa_j_sy0w</t>
  </si>
  <si>
    <t>rdVa_j_sy0w</t>
  </si>
  <si>
    <t>Learn Systematic Trading &amp; Become Profitable!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#systematictrading #trading #rulebasedtrading</t>
  </si>
  <si>
    <t>https://i.ytimg.com/vi/rdVa_j_sy0w/hqdefault.jpg</t>
  </si>
  <si>
    <t>Option Buying Tips To Increase Profits</t>
  </si>
  <si>
    <t>https://www.youtube.com/watch?v=gOiXpNly2hM</t>
  </si>
  <si>
    <t>gOiXpNly2hM</t>
  </si>
  <si>
    <t>Option buying tips to increase probability of profit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#optionbuying #optiontrading</t>
  </si>
  <si>
    <t>https://i.ytimg.com/vi/gOiXpNly2hM/hqdefault.jpg</t>
  </si>
  <si>
    <t>How To Become a Profitable Trader in 2023</t>
  </si>
  <si>
    <t>https://www.youtube.com/watch?v=58iVdN4MDzI</t>
  </si>
  <si>
    <t>58iVdN4MDzI</t>
  </si>
  <si>
    <t>How To Become a Profitable Trader in 2023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#trading #profit</t>
  </si>
  <si>
    <t>https://i.ytimg.com/vi/58iVdN4MDzI/hqdefault.jpg</t>
  </si>
  <si>
    <t>Scalping Trading Strategy For Consistent Profits</t>
  </si>
  <si>
    <t>https://www.youtube.com/watch?v=wA1MoHlPUYw</t>
  </si>
  <si>
    <t>wA1MoHlPUYw</t>
  </si>
  <si>
    <t>Scalping Trading Strategy For Consistent Profits!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#Scalping</t>
  </si>
  <si>
    <t>https://i.ytimg.com/vi/wA1MoHlPUYw/hqdefault.jpg</t>
  </si>
  <si>
    <t>Uncovering the Advantages &amp; Disadvantages of Rule-Based Trading</t>
  </si>
  <si>
    <t>https://www.youtube.com/watch?v=O2lpLScD2wM</t>
  </si>
  <si>
    <t>O2lpLScD2wM</t>
  </si>
  <si>
    <t>Uncovering the Advantages &amp; Disadvantages of Rule-Based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</si>
  <si>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https://i.ytimg.com/vi/O2lpLScD2wM/hqdefault.jpg</t>
  </si>
  <si>
    <t>Profiting with Heikin Ashi Swing Trading Strategy | Trading With Groww</t>
  </si>
  <si>
    <t>https://www.youtube.com/watch?v=Zyurx6vIBtw</t>
  </si>
  <si>
    <t>Zyurx6vIBtw</t>
  </si>
  <si>
    <t>Heikin Ashi Trading Strategy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t>
  </si>
  <si>
    <t>https://i.ytimg.com/vi/Zyurx6vIBtw/hqdefault.jpg</t>
  </si>
  <si>
    <t>Backtesting a Trading Strategy: Step-by-Step Guide | Stock Mock</t>
  </si>
  <si>
    <t>https://www.youtube.com/watch?v=WdnARgSgQQ0</t>
  </si>
  <si>
    <t>WdnARgSgQQ0</t>
  </si>
  <si>
    <t>Backtesting a Trading Strategy: Step-by-Step Guide | Stock Mock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</si>
  <si>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https://i.ytimg.com/vi/WdnARgSgQQ0/hqdefault.jpg</t>
  </si>
  <si>
    <t>Maximize Your Trading Potential with TradingView's Tools and Features!</t>
  </si>
  <si>
    <t>https://www.youtube.com/watch?v=N2X30cyhuTk</t>
  </si>
  <si>
    <t>N2X30cyhuTk</t>
  </si>
  <si>
    <t>Maximize Your Trading Potential with TradingView's Tools and Features! 
Trading ki Baat registration link: https://pages.razorpay.com/groww-trader-conclave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</si>
  <si>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https://i.ytimg.com/vi/N2X30cyhuTk/hqdefault.jpg</t>
  </si>
  <si>
    <t>FINNIFTY expiry day strategy | Intraday Expiry  Strategy</t>
  </si>
  <si>
    <t>https://www.youtube.com/watch?v=rxPqkkBZlLU</t>
  </si>
  <si>
    <t>rxPqkkBZlLU</t>
  </si>
  <si>
    <t>FINNIFTY Trading Startegy | Intraday Expiry Strategy
0:00 Introduction
2:49 Trading Strategy
6:37 Bcaktested reults
7:38 Monthly P&amp;L
9:51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</si>
  <si>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https://i.ytimg.com/vi/rxPqkkBZlLU/hqdefault.jpg</t>
  </si>
  <si>
    <t>How I Learned From My Trading Mistakes| Day Trading Mistakes</t>
  </si>
  <si>
    <t>https://www.youtube.com/watch?v=in3PiToXwXE</t>
  </si>
  <si>
    <t>in3PiToXwXE</t>
  </si>
  <si>
    <t>How I Learned From My Trading Mistakes| Day Trading Mistakes
0:00 Introduction 
0:50 Trading mistake #1 
2:50 Trading mistake #2 
4:10 Trading mistake #3 
7:25 Trading mistake #4 
9:54 Trading mistake #5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</si>
  <si>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https://i.ytimg.com/vi/in3PiToXwXE/hqdefault.jpg</t>
  </si>
  <si>
    <t>Alligator Indicator Trading Strategy | How to use Indicator on Groww app?| intraday trading strategy</t>
  </si>
  <si>
    <t>https://www.youtube.com/watch?v=oEXdC9w_cjs</t>
  </si>
  <si>
    <t>oEXdC9w_cjs</t>
  </si>
  <si>
    <t>Alligator Indicator Trading Strategy | How to use Indicators on Groww app? 
0:00 Alligator indicator introduction
0:54 How to load indicator?
1:35 Alligator indicator details
3:33 Alligator indicator trading strategy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Date:27/12/22</t>
  </si>
  <si>
    <t>https://i.ytimg.com/vi/oEXdC9w_cjs/hqdefault.jpg</t>
  </si>
  <si>
    <t>How to pick trades with Open Interest? | Open Interest trading strategy | open interest explained</t>
  </si>
  <si>
    <t>https://www.youtube.com/watch?v=7dC-Xox0YFA</t>
  </si>
  <si>
    <t>7dC-Xox0YFA</t>
  </si>
  <si>
    <t>How to pick trades with Open Interest? | Open Interest Analysis
0:00 Introduction to Open Interest
0:41 Price, Volume, and OI
2:24 Open interest analysis
4:47 Long Buildup
6:30 Short Buildup
7:42 Long Unwinding
9:08 Short covering
11:13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26/12/22</t>
  </si>
  <si>
    <t>https://i.ytimg.com/vi/7dC-Xox0YFA/hqdefault.jpg</t>
  </si>
  <si>
    <t>EXPIRY SPECIAL: How to read price action on thursdays? Trading ki Baat with Anil Hudda</t>
  </si>
  <si>
    <t>https://www.youtube.com/watch?v=nUcwCRPJkV4</t>
  </si>
  <si>
    <t>nUcwCRPJkV4</t>
  </si>
  <si>
    <t>EXPIRY SPECIAL: How to read price action on thursdays? Trading ki Baat with Anil Hudda
In this video
0:00 Anil Introduction 
1:28 Anil's Trading journey
6:40 Trading style 
7:34 Practical Expiry Trading
14:47 Important Support and Resistances
18:25 Ways to book profits
23:30 Stops for straddles and strangles
25:09 Case study 2 
38:12 Managing positional trades
40:20 Advice on scaling up
41:31 Advantages of discretionary trading
44:44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</si>
  <si>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https://i.ytimg.com/vi/nUcwCRPJkV4/hqdefault.jpg</t>
  </si>
  <si>
    <t>Options Trading for Beginners | Groww app F&amp;O Trading kaise kare ?</t>
  </si>
  <si>
    <t>https://www.youtube.com/watch?v=LA4xnaK61uI</t>
  </si>
  <si>
    <t>LA4xnaK61uI</t>
  </si>
  <si>
    <t>Options Trading for Beginners | Groww app F&amp;O Trading kaise kare ?
0:00 Disclaimer
0:05 Introduction
0:23 Explanation on Groww app
5:21 Open interest
6:20 How to exit a position?
7:31 Conclusion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t>
  </si>
  <si>
    <t>https://i.ytimg.com/vi/LA4xnaK61uI/hqdefault.jpg</t>
  </si>
  <si>
    <t>Should you QUIT your job for Trading? Day trading full time</t>
  </si>
  <si>
    <t>https://www.youtube.com/watch?v=stG7z7GTzSA</t>
  </si>
  <si>
    <t>stG7z7GTzSA</t>
  </si>
  <si>
    <t>Should you QUIT your job for Trading? Day trading full time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</si>
  <si>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https://i.ytimg.com/vi/stG7z7GTzSA/hqdefault.jpg</t>
  </si>
  <si>
    <t>Learn How to Make Money with Nifty Options Trading | options trading for beginners</t>
  </si>
  <si>
    <t>https://www.youtube.com/watch?v=XxLz44wV9Yw</t>
  </si>
  <si>
    <t>XxLz44wV9Yw</t>
  </si>
  <si>
    <t>Learn How to Make Money with Nifty Options Trading - A Beginner's Guide!
Backtest results : https://docs.google.com/file/d/1Pu0RQ0B15crtcxnxcmGu6OOvGUlb1VGP/edit?usp=docslist_api&amp;filetype=msexcel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</si>
  <si>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https://i.ytimg.com/vi/XxLz44wV9Yw/hqdefault.jpg</t>
  </si>
  <si>
    <t>Risks in Futures &amp; Options Trading! Trading For Beginners</t>
  </si>
  <si>
    <t>https://www.youtube.com/watch?v=ygsbwUkOdQg</t>
  </si>
  <si>
    <t>ygsbwUkOdQg</t>
  </si>
  <si>
    <t>Risks in Futures &amp; Options Trading!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t>
  </si>
  <si>
    <t>https://i.ytimg.com/vi/ygsbwUkOdQg/hqdefault.jpg</t>
  </si>
  <si>
    <t>Master ADX, Alligator and MACD Indicators. Trading ki baat with Rohit Katwal</t>
  </si>
  <si>
    <t>https://www.youtube.com/watch?v=FoMlYlm-USw</t>
  </si>
  <si>
    <t>FoMlYlm-USw</t>
  </si>
  <si>
    <t>Master ADX, Alligator and MACD Indicators. Trading ki baat with Rohit Katwal
In this video:
0:00 Introduction
0:21 Rohit Katwal's introduction
 5:10 Trading style
10:37 How to take a view of the market?
13:00 Stock selection
19:51 How to determine buy &amp; sell strength 
21:20 MACD, ADX &amp; Alligator setup
38:03 Chart patterns for trading
43:15 When to trade in futures and options?
46:41 Trailing stop-loss technique
50:00 Advice for traders
51:52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</si>
  <si>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https://i.ytimg.com/vi/FoMlYlm-USw/hqdefault.jpg</t>
  </si>
  <si>
    <t>November Trading Strategy Results: A Performance Review You Can't Miss!</t>
  </si>
  <si>
    <t>https://www.youtube.com/watch?v=ujrr26n9FDg</t>
  </si>
  <si>
    <t>ujrr26n9FDg</t>
  </si>
  <si>
    <t>November Trading Strategy Results: A Performance Review You Can't Miss!
Strategy Videos:
Intraday Banknifty Option Selling Strategy: https://youtu.be/H6wAU3TovQg
Intraday Option Buying Strategy: https://youtu.be/r01O9GIX89w
Equity Positional Trading Strategy: https://youtu.be/NLeV745YkHc
BTST Trading Strategy: https://youtu.be/WgqMCd93X0k
Nifty Futures Strategy: https://youtu.be/4OKcemAz8Rg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</si>
  <si>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https://i.ytimg.com/vi/ujrr26n9FDg/hqdefault.jpg</t>
  </si>
  <si>
    <t>Top 5 stocks with highest returns (1 month) | Technical Analysis</t>
  </si>
  <si>
    <t>https://www.youtube.com/watch?v=PN27werEovw</t>
  </si>
  <si>
    <t>PN27werEovw</t>
  </si>
  <si>
    <t>Top 5 stocks with highest returns (1 month) | Technical Analysis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14/12/22</t>
  </si>
  <si>
    <t>https://i.ytimg.com/vi/PN27werEovw/hqdefault.jpg</t>
  </si>
  <si>
    <t>Open High Open Low Strategy | Intraday Trading for beginners | intraday trading strategies</t>
  </si>
  <si>
    <t>https://www.youtube.com/watch?v=JLzdny1s7XE</t>
  </si>
  <si>
    <t>JLzdny1s7XE</t>
  </si>
  <si>
    <t>Open High Low Strategy | Intraday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Date:13/12/22</t>
  </si>
  <si>
    <t>https://i.ytimg.com/vi/JLzdny1s7XE/hqdefault.jpg</t>
  </si>
  <si>
    <t>Positional Trading : Rule-based trading strategy</t>
  </si>
  <si>
    <t>https://www.youtube.com/watch?v=3Hkix-B7xGk</t>
  </si>
  <si>
    <t>3Hkix-B7xGk</t>
  </si>
  <si>
    <t>Positional Trading : Rule-based trading system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</si>
  <si>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https://i.ytimg.com/vi/3Hkix-B7xGk/hqdefault.jpg</t>
  </si>
  <si>
    <t>How to do Intraday Trading on Groww App | Intraday Trading For Beginners</t>
  </si>
  <si>
    <t>https://www.youtube.com/watch?v=s1_HpGc-NiU</t>
  </si>
  <si>
    <t>s1_HpGc-NiU</t>
  </si>
  <si>
    <t>How to do Intraday Trading on Groww App | Intraday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  Groww Marathi link - https://www.youtube.com/@Groww.Marathi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</si>
  <si>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https://i.ytimg.com/vi/s1_HpGc-NiU/hqdefault.jpg</t>
  </si>
  <si>
    <t>How to generate regular income from options? | Options strategy for regular income</t>
  </si>
  <si>
    <t>https://www.youtube.com/watch?v=oe69m-RhiMU</t>
  </si>
  <si>
    <t>oe69m-RhiMU</t>
  </si>
  <si>
    <t>How to generate regular income from options? | Options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7/12/22</t>
  </si>
  <si>
    <t>https://i.ytimg.com/vi/oe69m-RhiMU/hqdefault.jpg</t>
  </si>
  <si>
    <t>Chartink Intraday Scanner | How to build scanner &amp; dashboard for trading? | intraday stock selection</t>
  </si>
  <si>
    <t>https://www.youtube.com/watch?v=1uVvagZEA0c</t>
  </si>
  <si>
    <t>1uVvagZEA0c</t>
  </si>
  <si>
    <t>Chartink Intraday Scanner | How to build scanner &amp; dashboard for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</si>
  <si>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https://i.ytimg.com/vi/1uVvagZEA0c/hqdefault.jpg</t>
  </si>
  <si>
    <t>Top 5 pointers for Rule based trading strategy | Mechanical trading strategies</t>
  </si>
  <si>
    <t>https://www.youtube.com/watch?v=wQu1VIo2Ia4</t>
  </si>
  <si>
    <t>wQu1VIo2Ia4</t>
  </si>
  <si>
    <t>Top 5 pointers for Rule based trading| Mechanical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Kirubakaran Rajendran
Date: 5/12/22</t>
  </si>
  <si>
    <t>https://i.ytimg.com/vi/wQu1VIo2Ia4/hqdefault.jpg</t>
  </si>
  <si>
    <t>How to compound your capital with trading systems? Trading ki baat with Jegan @CapitalZone</t>
  </si>
  <si>
    <t>https://www.youtube.com/watch?v=IXbxQj9I5HI</t>
  </si>
  <si>
    <t>IXbxQj9I5HI</t>
  </si>
  <si>
    <t>How to compound your capital with trading systems? Trading ki baat with Jegan &amp; Arjun
In this video:
0:00 Jegan introduction
0:49 Transition to a trader
9:15 Discretionary to systematic trader
12:39 Why should you not trade on Fridays?
16:12 Straddles and strangles
17:50 Expiry trading approach
24:18 Risk management and drawdowns
35:16 Psychology for compounding
41:32 Golden advice
43:39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</si>
  <si>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https://i.ytimg.com/vi/IXbxQj9I5HI/hqdefault.jpg</t>
  </si>
  <si>
    <t>Bollinger Bands Trading Strategy | Trading For Beginners</t>
  </si>
  <si>
    <t>https://www.youtube.com/watch?v=7fgqVN2I_jE</t>
  </si>
  <si>
    <t>7fgqVN2I_jE</t>
  </si>
  <si>
    <t>Bollinger Bands Trading Strategy | Trading For Beginners
In this video, we discuss Bollinger Bands and how to use it for Intraday Tradin.
Intraday video: https://youtu.be/0hT7FDjP_Sw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2/12/2022
#bollingerbands #trading #stockmarket</t>
  </si>
  <si>
    <t>https://i.ytimg.com/vi/7fgqVN2I_jE/hqdefault.jpg</t>
  </si>
  <si>
    <t>Banknifty Futures Trading Strategy | Heikin Ashi &amp; Supertrend</t>
  </si>
  <si>
    <t>https://www.youtube.com/watch?v=jNof-YwpVeI</t>
  </si>
  <si>
    <t>jNof-YwpVeI</t>
  </si>
  <si>
    <t>Banknifty Futures Trading Strategy | Heikin Ashi &amp; Supertrend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30/11/22</t>
  </si>
  <si>
    <t>https://i.ytimg.com/vi/jNof-YwpVeI/hqdefault.jpg</t>
  </si>
  <si>
    <t>The truth about day trading stocks | What it takes to succeed?</t>
  </si>
  <si>
    <t>https://www.youtube.com/watch?v=9Z7BNW3159s</t>
  </si>
  <si>
    <t>9Z7BNW3159s</t>
  </si>
  <si>
    <t>The truth about day trading stocks | What it takes to succeed?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29/11/22</t>
  </si>
  <si>
    <t>https://i.ytimg.com/vi/9Z7BNW3159s/hqdefault.jpg</t>
  </si>
  <si>
    <t>How to use Fibonacci for perfect entry and targets? | Fibonacci Retracement</t>
  </si>
  <si>
    <t>https://www.youtube.com/watch?v=29y1cRiluRo</t>
  </si>
  <si>
    <t>29y1cRiluRo</t>
  </si>
  <si>
    <t>How to use Fibonacci for perfect entry and targets? | Fibonacci Retracement
In this video:
0:00 Fibonacci Introduction
3:07 Strategy 
11:47 How to take the perfect entry?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Date:28/11/22</t>
  </si>
  <si>
    <t>https://i.ytimg.com/vi/29y1cRiluRo/hqdefault.jpg</t>
  </si>
  <si>
    <t>Low risk - high return| long straddle option strategy | trading ki baat with Robin</t>
  </si>
  <si>
    <t>https://www.youtube.com/watch?v=FN3Yhlvzdf8</t>
  </si>
  <si>
    <t>FN3Yhlvzdf8</t>
  </si>
  <si>
    <t>Learn When To Buy Straddles In Stocks | Long Straddle Option Strategy | Trading Ki Baat With Robin
In this video:
0:00 Introduction
0:30 Robin's Introduction
1:57 Robin's Trading Journey
4:38 Trading Style
5:58 Advantages of a long straddle
7:20 Risk of theta decay?
8:50 Stock selection
12:40 What is straddle coverage?
15:13 How to buy straddles?
28:32 Scanning for opportunities
43:41 Short straddle vs long straddle advise
45:44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</si>
  <si>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https://i.ytimg.com/vi/FN3Yhlvzdf8/hqdefault.jpg</t>
  </si>
  <si>
    <t>8 Steps for a Successful Trading Plan | Trading Plan</t>
  </si>
  <si>
    <t>https://www.youtube.com/watch?v=JKT4LEKoVBg</t>
  </si>
  <si>
    <t>JKT4LEKoVBg</t>
  </si>
  <si>
    <t>8 Steps for a Successful Trading Plan | Trading Plan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25/11/22</t>
  </si>
  <si>
    <t>https://i.ytimg.com/vi/JKT4LEKoVBg/hqdefault.jpg</t>
  </si>
  <si>
    <t>Top Candlestick Patterns For Swing Trading| Trading For Beginners</t>
  </si>
  <si>
    <t>https://www.youtube.com/watch?v=vvUBFxQUa1U</t>
  </si>
  <si>
    <t>vvUBFxQUa1U</t>
  </si>
  <si>
    <t>Top Candlestick Patterns For Swing Trading| Trading For Beginners 
In this video:
0:00 Introduction
1:44 Swing Trading
4:55 Candlestick #1
11:14 Candlestick #2
14:53 Candlestick #3 
18:13 Candlestick #4 
21:03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Date:24/11/22</t>
  </si>
  <si>
    <t>https://i.ytimg.com/vi/vvUBFxQUa1U/hqdefault.jpg</t>
  </si>
  <si>
    <t>Rule-Based Swing Trading With Entry &amp; Exit</t>
  </si>
  <si>
    <t>https://www.youtube.com/watch?v=JOiXKbmxRrs</t>
  </si>
  <si>
    <t>JOiXKbmxRrs</t>
  </si>
  <si>
    <t>Rule-Based Swing Trading With Entry &amp; Exit
For educational videos on trading, please subscribe to the Trading with Groww channel: https://openinapp.co/youtube/trading-with-groww
In this video:
0:00 Introduction
1:24 Right time to exit the stock
5:11 Technique #1
7:53 Technique #2
12:27Recap and learnings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Kirubakaran Rajendran
Date:23/11/22</t>
  </si>
  <si>
    <t>https://i.ytimg.com/vi/JOiXKbmxRrs/hqdefault.jpg</t>
  </si>
  <si>
    <t>The Disciplined Trader: Developing Winning Attitudes For Success</t>
  </si>
  <si>
    <t>https://www.youtube.com/watch?v=SPqLuRZNsRM</t>
  </si>
  <si>
    <t>SPqLuRZNsRM</t>
  </si>
  <si>
    <t>The Disciplined Trader: Developing Winning Attitudes For Success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21/11/2022</t>
  </si>
  <si>
    <t>https://i.ytimg.com/vi/SPqLuRZNsRM/hqdefault.jpg</t>
  </si>
  <si>
    <t>Top 3 Volume-Based Trading Indicators| Swing &amp; Intraday Trading</t>
  </si>
  <si>
    <t>https://www.youtube.com/watch?v=aO46QhB8B0Q</t>
  </si>
  <si>
    <t>aO46QhB8B0Q</t>
  </si>
  <si>
    <t>Top 3 Volume-Based Trading Strategies| Swing &amp; Intraday Trading
In this video:
0:00 Introduction
1:50 Money Flow Index Indicator (Intraday Strategy)
7:59 On Balance Volume (Positional Strategy) 
12:35 Chaikin Indicator(Intraday Strategy)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18/11/2022</t>
  </si>
  <si>
    <t>https://i.ytimg.com/vi/aO46QhB8B0Q/hqdefault.jpg</t>
  </si>
  <si>
    <t>https://www.youtube.com/watch?v=k2sqB5RdxqY</t>
  </si>
  <si>
    <t>k2sqB5RdxqY</t>
  </si>
  <si>
    <t>Top 5 stocks with highest returns (1 month) | Technical Analysis
0:00 Introduction and filter criteria
1:12 Stock #1
4:10 Stock #2 
5:52 Stock #3  
7:55 Stock #4  
9:44 Stock #5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17/11/2022</t>
  </si>
  <si>
    <t>https://i.ytimg.com/vi/k2sqB5RdxqY/hqdefault.jpg</t>
  </si>
  <si>
    <t>How to Start Trading as a Beginner? Trading for Beginners (Hindi)</t>
  </si>
  <si>
    <t>https://www.youtube.com/watch?v=bx9KPgj4WiU</t>
  </si>
  <si>
    <t>bx9KPgj4WiU</t>
  </si>
  <si>
    <t>How to Start Trading as a Beginner? Trading for Beginners (Hindi)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15/11/2022</t>
  </si>
  <si>
    <t>https://i.ytimg.com/vi/bx9KPgj4WiU/hqdefault.jpg</t>
  </si>
  <si>
    <t>Long-Term Secrets to Short-Term Trading | Trading For Beginners</t>
  </si>
  <si>
    <t>https://www.youtube.com/watch?v=vUNn2xrNc4s</t>
  </si>
  <si>
    <t>vUNn2xrNc4s</t>
  </si>
  <si>
    <t>Long-Term Secrets to Short-Term Trading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14/11/2022</t>
  </si>
  <si>
    <t>https://i.ytimg.com/vi/vUNn2xrNc4s/hqdefault.jpg</t>
  </si>
  <si>
    <t>Learn Scalping Trading Strategy In Options | Trading Ki Baat With Sankalp</t>
  </si>
  <si>
    <t>https://www.youtube.com/watch?v=1-bvRKeuU8g</t>
  </si>
  <si>
    <t>1-bvRKeuU8g</t>
  </si>
  <si>
    <t>Learn Scalping Trading Strategy In Options | Trading Ki Baat With Sankalp 
In this video:
0:00 Sankalp Introduction
0:57 Sankalp's Trading Journey
2:26 Scalping Trading Style
8:23 Preferred Instrument For Scalping / Stock Selection
12:08 Indicators for Scalping
15:00 Fibonacci for Trading
18:00 Targets &amp; Stop-loss in Scalping
22:48 Trading Setup
28:35 Banknifty components
43:27 Strike Price Selection
45:15 Rules For Execution
1:01:14 Advice for Scalpers
1:03:34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</si>
  <si>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https://i.ytimg.com/vi/1-bvRKeuU8g/hqdefault.jpg</t>
  </si>
  <si>
    <t>Trade Nifty In Just 15 Minutes A Day| Intraday Trading</t>
  </si>
  <si>
    <t>https://www.youtube.com/watch?v=a2GbC2uOMF4</t>
  </si>
  <si>
    <t>a2GbC2uOMF4</t>
  </si>
  <si>
    <t>Trade Nifty In Just 15 Minutes A Day| Intraday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11/11/2022</t>
  </si>
  <si>
    <t>https://i.ytimg.com/vi/a2GbC2uOMF4/hqdefault.jpg</t>
  </si>
  <si>
    <t>Top 5 Profitable Chart Patterns| Intraday Trading For Beginners</t>
  </si>
  <si>
    <t>https://www.youtube.com/watch?v=JkQ7PR7_RF8</t>
  </si>
  <si>
    <t>JkQ7PR7_RF8</t>
  </si>
  <si>
    <t>Top 5 Profitable Chart Patterns| Intraday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9/11/22</t>
  </si>
  <si>
    <t>https://i.ytimg.com/vi/JkQ7PR7_RF8/hqdefault.jpg</t>
  </si>
  <si>
    <t>The One-Hour Trade: Make Money with One Simple Strategy| Day Trading</t>
  </si>
  <si>
    <t>https://www.youtube.com/watch?v=THVHPVcmzsg</t>
  </si>
  <si>
    <t>THVHPVcmzsg</t>
  </si>
  <si>
    <t>The One-Hour Trade: Make Money with One Simple Strategy| Day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8/11/2022</t>
  </si>
  <si>
    <t>https://i.ytimg.com/vi/THVHPVcmzsg/hqdefault.jpg</t>
  </si>
  <si>
    <t>Do Trading Strategies Stop Working? Trading For Beginners</t>
  </si>
  <si>
    <t>https://www.youtube.com/watch?v=5hrWZFbhm3o</t>
  </si>
  <si>
    <t>5hrWZFbhm3o</t>
  </si>
  <si>
    <t>Do Trading Strategies Stop Working?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7/11/2022</t>
  </si>
  <si>
    <t>https://i.ytimg.com/vi/5hrWZFbhm3o/hqdefault.jpg</t>
  </si>
  <si>
    <t>How To Make Consistent Profits From Expiry Trading? Trading Ki Baat With Kirubakaran  @tradewithkiru</t>
  </si>
  <si>
    <t>https://www.youtube.com/watch?v=I16k08qxGyc</t>
  </si>
  <si>
    <t>I16k08qxGyc</t>
  </si>
  <si>
    <t>How To Make Consistent Profits From Expiry Trading? Trading Ki Baat With Kirubakaran  
Best Expiry Trading Strategy | Trading Ki Baat With Kirubakaran  @Square Off  
For educational videos on trading, please subscribe to the Trading with Groww channel: https://openinapp.co/youtube/trading-with-groww
In this video
0:00 Teaser
1:20 Kirubakaran Introduction
4:28 Market dynamics
7:07 Backtesting the ideal way
9:40 Strategy optimizing and curve fitting
16:09 How to build a trading system?
19:28 Trading Strategy rules
25:57 Day-wise profits
27:17 How many trades per day?
29:14 Expiry day returns
30:56 Drawdown of the strategy
32:42 Time taken to double your capital?
34:07 Strategy recap
37:06 Learnings &amp; recap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Date: 5/11/2022</t>
  </si>
  <si>
    <t>https://i.ytimg.com/vi/I16k08qxGyc/hqdefault.jpg</t>
  </si>
  <si>
    <t>Mark Minervini Strategy | Trade Like A Stock Market Wizard</t>
  </si>
  <si>
    <t>https://www.youtube.com/watch?v=opwt6R66OIo</t>
  </si>
  <si>
    <t>opwt6R66OIo</t>
  </si>
  <si>
    <t>Mark Minervini Trading Strategy | Trade Like A Stock Market Wizard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4/11/2022</t>
  </si>
  <si>
    <t>https://i.ytimg.com/vi/opwt6R66OIo/hqdefault.jpg</t>
  </si>
  <si>
    <t>NIFTY is Headed For Another Bull Run? Nifty All Time High!!</t>
  </si>
  <si>
    <t>https://www.youtube.com/watch?v=n6esU5tIYiA</t>
  </si>
  <si>
    <t>n6esU5tIYiA</t>
  </si>
  <si>
    <t>NIFTY is Headed For Another Bull Run? Nifty All Time High!!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3/11/2022</t>
  </si>
  <si>
    <t>https://i.ytimg.com/vi/n6esU5tIYiA/hqdefault.jpg</t>
  </si>
  <si>
    <t>Top 5 Day Trading Metrics For Success | Trading for Beginners</t>
  </si>
  <si>
    <t>https://www.youtube.com/watch?v=d10c1QDT5Zk</t>
  </si>
  <si>
    <t>d10c1QDT5Zk</t>
  </si>
  <si>
    <t>Top 5 Day Trading Metrics For Success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2/11/2022</t>
  </si>
  <si>
    <t>https://i.ytimg.com/vi/d10c1QDT5Zk/hqdefault.jpg</t>
  </si>
  <si>
    <t>Option Buying Strategies | Options Trading Intraday &amp; Positional</t>
  </si>
  <si>
    <t>https://www.youtube.com/watch?v=biOiFpvQikQ</t>
  </si>
  <si>
    <t>biOiFpvQikQ</t>
  </si>
  <si>
    <t>Option Buying Strategies | Options Trading Intraday &amp; Positional
In this video:
0:00 Introduction to options buying
1:35 Option Buying Intraday Strategy
13:39 Option Buying Positional Strategy
19:54 Recap &amp;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1/11/2022</t>
  </si>
  <si>
    <t>https://i.ytimg.com/vi/biOiFpvQikQ/hqdefault.jpg</t>
  </si>
  <si>
    <t>Trading Strategy Results For October | Trading Performance Review</t>
  </si>
  <si>
    <t>https://www.youtube.com/watch?v=lHrg-_DGeto</t>
  </si>
  <si>
    <t>lHrg-_DGeto</t>
  </si>
  <si>
    <t>Trading Strategy Results For October | Trading Performance Review 
In this video:
0:00 Introduction
0:48 Intraday Banknifty Option Selling Strategy
4:35 Intraday Option Buying Strategy
8:09 Equity Positional Trading Strategy
10:31 BTST Trading Strategy
13:15 Nifty Futures Strategy
16:33 Learnings &amp; Recap
Strategy Videos:
Intraday Banknifty Option Selling Strategy: https://youtu.be/H6wAU3TovQg
Intraday Option Buying Strategy: https://youtu.be/r01O9GIX89w
Equity Positional Trading Strategy: https://youtu.be/NLeV745YkHc
BTST Trading Strategy: https://youtu.be/WgqMCd93X0k
Nifty Futures Strategy: https://youtu.be/4OKcemAz8Rg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31/10/2022</t>
  </si>
  <si>
    <t>https://i.ytimg.com/vi/lHrg-_DGeto/hqdefault.jpg</t>
  </si>
  <si>
    <t>How to Day Trade for a Living: A Beginner's Guide to Tools, Money Management and Trading Psychology</t>
  </si>
  <si>
    <t>https://www.youtube.com/watch?v=hdgjl62kSlY</t>
  </si>
  <si>
    <t>hdgjl62kSlY</t>
  </si>
  <si>
    <t>How to Day Trade for a Living: A Beginner's Guide to Tools, Money Management and Trading Psychology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28-10-2022</t>
  </si>
  <si>
    <t>https://i.ytimg.com/vi/hdgjl62kSlY/hqdefault.jpg</t>
  </si>
  <si>
    <t>Stocks With 52 Week Highs: How To Trade Them?</t>
  </si>
  <si>
    <t>https://www.youtube.com/watch?v=S7-FwV8U56c</t>
  </si>
  <si>
    <t>S7-FwV8U56c</t>
  </si>
  <si>
    <t>Stocks With 52 Week Highs: How To Trade Them?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27-10-2022</t>
  </si>
  <si>
    <t>https://i.ytimg.com/vi/S7-FwV8U56c/hqdefault.jpg</t>
  </si>
  <si>
    <t>This Indicator Helps Determine Breakout Strength: CHAIKIN MONEY FLOW</t>
  </si>
  <si>
    <t>https://www.youtube.com/watch?v=B2xQTC4ff8A</t>
  </si>
  <si>
    <t>B2xQTC4ff8A</t>
  </si>
  <si>
    <t>This Indicator Helps Determine Breakout Strength: CHAIKIN MONEY FLOW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25-10-2022</t>
  </si>
  <si>
    <t>https://i.ytimg.com/vi/B2xQTC4ff8A/hqdefault.jpg</t>
  </si>
  <si>
    <t>Trade Like a Pro: Master These Position Sizing &amp; Risk Management Techniques for Successful Trading!</t>
  </si>
  <si>
    <t>https://www.youtube.com/watch?v=rVjGVQMBhOI</t>
  </si>
  <si>
    <t>rVjGVQMBhOI</t>
  </si>
  <si>
    <t>Trade Like a Pro: Master These Position Sizing &amp; Risk Management Techniques for Successful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</si>
  <si>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https://i.ytimg.com/vi/rVjGVQMBhOI/hqdefault.jpg</t>
  </si>
  <si>
    <t>How To Trade Stock Options In A Profitable &amp; Consistent Manner? Trading Ki Baat with Ashish Gupta</t>
  </si>
  <si>
    <t>https://www.youtube.com/watch?v=kQ_uzTWCxTY</t>
  </si>
  <si>
    <t>kQ_uzTWCxTY</t>
  </si>
  <si>
    <t>How To Trade Stock Options In A Profitable &amp; Consistent Manner? Trading Ki Baat with Ashish Gupta
In this video:
0:00 Introduction
0:30 Ashish Gupta's introduction
1:30 Ashish's initial trading journey
5:58 What is volatility trading?
10:05 IV Percentile &amp; IV Rank 
15:10 Benefits of Straddle &amp; Strangle
18:01 Criteria for Volatility Short Trading
24:37 Historical volatility and Implied Volatility 
27:33 Selling far OTM worth it?
32:00 Stock Selection for Trading
35:35 Capital deployment in strategies
39:26 How to determine when to exit?
43:25 When to book profits?
45:13 Why stocks over index?
46:45 Managing straddles and strangles
53:07 How to hedge?
54:25 Black Swan Implication
56:11 Mistakes 
1:01:27 Most important takeaway
1:02:53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</si>
  <si>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https://i.ytimg.com/vi/kQ_uzTWCxTY/hqdefault.jpg</t>
  </si>
  <si>
    <t>Top 3 Bullish Stocks For Swing Trading | Technical Analysis (21-10-2022)</t>
  </si>
  <si>
    <t>https://www.youtube.com/watch?v=mewITWCEuYQ</t>
  </si>
  <si>
    <t>mewITWCEuYQ</t>
  </si>
  <si>
    <t>Top 3 Bullish Stocks For Swing Trading | Technical Analysis (21-10-2022)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21-10-2022</t>
  </si>
  <si>
    <t>https://i.ytimg.com/vi/mewITWCEuYQ/hqdefault.jpg</t>
  </si>
  <si>
    <t>GAP UP &amp; GAP DOWN! How to Trade Gaps In Trading?</t>
  </si>
  <si>
    <t>https://www.youtube.com/watch?v=eo20sN2JZSo</t>
  </si>
  <si>
    <t>eo20sN2JZSo</t>
  </si>
  <si>
    <t>GAP UP &amp; GAP DOWN! How to Trade Gaps In Trading?
In this video,
0:00 Introduction
1:02 What are gaps in trading?
2:21 Why do gaps occur?
4:20 How to trade gaps?
11:05 Scanner for gaps
15:17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&amp; Aseem Singhal
Date: 19-10-2022</t>
  </si>
  <si>
    <t>https://i.ytimg.com/vi/eo20sN2JZSo/hqdefault.jpg</t>
  </si>
  <si>
    <t>ATR Indicator Secrets! How To Use ATR Indicator?</t>
  </si>
  <si>
    <t>https://www.youtube.com/watch?v=pd85tVv7ynk</t>
  </si>
  <si>
    <t>pd85tVv7ynk</t>
  </si>
  <si>
    <t>ATR Indicator Secrets! How To Use ATR Indicator?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18/10/22</t>
  </si>
  <si>
    <t>https://i.ytimg.com/vi/pd85tVv7ynk/hqdefault.jpg</t>
  </si>
  <si>
    <t>Trading In The Zone Book Review (Hindi): Most Valuable Trading Lessons</t>
  </si>
  <si>
    <t>https://www.youtube.com/watch?v=p8mcyRMpdQo</t>
  </si>
  <si>
    <t>p8mcyRMpdQo</t>
  </si>
  <si>
    <t>Trading In The Zone Book Review (Hindi): Most Valuable Trading Lessons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</si>
  <si>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https://i.ytimg.com/vi/p8mcyRMpdQo/hqdefault.jpg</t>
  </si>
  <si>
    <t>How This Trader Catches Explosive Moves in Equities? Trading Ki Baat with Manas Arora | Episode-4</t>
  </si>
  <si>
    <t>https://www.youtube.com/watch?v=I4yOlWK8yk0</t>
  </si>
  <si>
    <t>I4yOlWK8yk0</t>
  </si>
  <si>
    <t>How This Trader Catches Explosive Moves in Equities? Trading Ki Baat with Manas Arora | Episode-4
0:00 Introduction
0:31 Manas Arora introduction
1:32 Manas Arora's initial trading journey
10:05 Advantage of equity trading over F&amp;O
16:09 Trading for just half an hour a day?
17:35 Should you keep targets for your trades?
20:30 1:100 trade in 30 days?
22:30 Average winning trades
24:25 Mindset for holding big trades
28:11 Position sizing in equity trading
30:51 Risk mitigation in overnight trades
33:01 Signs for a market crash
34:55 Stock selection criteria for equity trading
40:21 Manas's trading strategy
44:50 How to take the perfect entry?
52:31 1:100 trade example
59:07 Liquidity issue in equity?
1:00:52 Trader's biggest problem?
1:03:17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</si>
  <si>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https://i.ytimg.com/vi/I4yOlWK8yk0/hqdefault.jpg</t>
  </si>
  <si>
    <t>How To Select Stocks For Option Selling? | Options Trading</t>
  </si>
  <si>
    <t>https://www.youtube.com/watch?v=RJC-j3H6REU</t>
  </si>
  <si>
    <t>RJC-j3H6REU</t>
  </si>
  <si>
    <t>How To Select Stocks For Option Selling? | Options Trading for beginners
#optionstrading #optionstradingforbeginners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14/10/2022</t>
  </si>
  <si>
    <t>https://i.ytimg.com/vi/RJC-j3H6REU/hqdefault.jpg</t>
  </si>
  <si>
    <t>Reversal Round The Corner For These Beaten Down Stocks? Swing Trading!</t>
  </si>
  <si>
    <t>https://www.youtube.com/watch?v=mRFEMktL-vQ</t>
  </si>
  <si>
    <t>mRFEMktL-vQ</t>
  </si>
  <si>
    <t>Reversal Round The Corner For These Beaten Down Stocks? Swing Trading!
For educational videos on trading, please subscribe to the Trading with Groww channel: https://openinapp.co/youtube/trading-with-groww
0:00 Introduction
0:43 Stock 1
4:12 Stock 2
8:00 Stock 3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13/10/22</t>
  </si>
  <si>
    <t>https://i.ytimg.com/vi/mRFEMktL-vQ/hqdefault.jpg</t>
  </si>
  <si>
    <t>How To Trade A Shooting Star Pattern? Trading For Beginners</t>
  </si>
  <si>
    <t>https://www.youtube.com/watch?v=xfuZj9U-dAY</t>
  </si>
  <si>
    <t>xfuZj9U-dAY</t>
  </si>
  <si>
    <t>How To Trade A Shooting Star Pattern?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12/10/22</t>
  </si>
  <si>
    <t>https://i.ytimg.com/vi/xfuZj9U-dAY/hqdefault.jpg</t>
  </si>
  <si>
    <t>How To Use NSE Website? Trading Analysis!</t>
  </si>
  <si>
    <t>https://www.youtube.com/watch?v=OrF2mFRNveU</t>
  </si>
  <si>
    <t>OrF2mFRNveU</t>
  </si>
  <si>
    <t>How To Use NSE Website? Trading Analysis!
Links 
1. https://www1.nseindia.com/index_nse.htm
2. https://www.nseindia.com/market-data/top-gainers-loosers?cat=G
3. https://www.nseindia.com/market-data/volume-gainers-spurts
4. https://www.nseindia.com/market-data/new-52-week-high-low-equity-market
5. https://www.nseindia.com/market-data/oi-spurts
6. https://www1.nseindia.com/products/content/equities/equities/eq_security.htm
7. https://www1.nseindia.com/products/content/derivatives/equities/historical_fo.htm
8. https://www.nseindia.com/all-reports
9. https://www.nseindia.com/products-services/indices-nifty50-index
10. https://www.nseindia.com/option-chain
11. https://www1.nseindia.com/corporates/corporateHome.html?id=eqCorpActions
For educational videos on trading, please subscribe to the Trading with Groww channel: https://openinapp.co/youtube/trading-with-groww
0:00 Introduction
0:57 Stock selection using the NSE website
7:16 Historical data using the NSE website
12:18 What is a bulk deal?
14:00 Circuit limit
16:05 Constituents of indices
17:57 Option chain NSE
19:20 Earnings data NSE
20:22 Learnings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11-10-2022</t>
  </si>
  <si>
    <t>https://i.ytimg.com/vi/OrF2mFRNveU/hqdefault.jpg</t>
  </si>
  <si>
    <t>How this system trader manages his strategies and risk efficiently | Trading Ki Baat with Prathamesh</t>
  </si>
  <si>
    <t>https://www.youtube.com/watch?v=aYXqCTxU2oY</t>
  </si>
  <si>
    <t>aYXqCTxU2oY</t>
  </si>
  <si>
    <t>How this system trader manages his strategies and risk efficiently | Trading Ki Baat with Prathamesh
In this video:
0:00 Introduction
0:25 Prathamesh Godbole Introduction
1:15 Trading Journey
3:28 Influence of system trading
5:06 Prathamesh's trading strategies
8:06 Preferred instrument for trend following
10:50 Buying options is better than futures?
13:07 Position sizing in options
16:51 Acceptable drawdowns in the market
17:52 How do you know when to stop trading a system?
19:22 How to fix frequent losses?
23:38 Backtest Vs Reality
24:55 The right way to backtest
28:88 Emerging patterns in the market
32:46 System performance in the last couple of years
34:36 How to time the markets based on central bank actions?
37:14 What happens when interest rates hike?
39:09 How &amp; why the central banks affect the markets?
42:53 How to mitigate risk in trading?
45:31 Social media influence on trading
47:07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</si>
  <si>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https://i.ytimg.com/vi/aYXqCTxU2oY/hqdefault.jpg</t>
  </si>
  <si>
    <t>George Soros: The Man Who Broke The Bank Of England!</t>
  </si>
  <si>
    <t>https://www.youtube.com/watch?v=y5qtUugsyxI</t>
  </si>
  <si>
    <t>y5qtUugsyxI</t>
  </si>
  <si>
    <t>George Soros: The Man Who Broke The Bank Of England!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7/10/2022</t>
  </si>
  <si>
    <t>https://i.ytimg.com/vi/y5qtUugsyxI/hqdefault.jpg</t>
  </si>
  <si>
    <t>Will Correction Continue In These Adani Stocks? Adani Stocks Latest News!</t>
  </si>
  <si>
    <t>https://www.youtube.com/watch?v=cbHvaHFPXyo</t>
  </si>
  <si>
    <t>cbHvaHFPXyo</t>
  </si>
  <si>
    <t>Will Correction Continue In These Adani Stocks? Adani Stocks Lates News!
In this video:
0:00 Introduction
0:51 Technical analysis of Adani Transmission
5:05 Technical analysis of Adani Power
10:21 Technical analysis of Adani Green
15:00 Conclusion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and 6/10/22</t>
  </si>
  <si>
    <t>https://i.ytimg.com/vi/cbHvaHFPXyo/hqdefault.jpg</t>
  </si>
  <si>
    <t>Where will NIFTY reach next? Technical Analysis</t>
  </si>
  <si>
    <t>https://www.youtube.com/watch?v=I5w8FTdNZ6c</t>
  </si>
  <si>
    <t>I5w8FTdNZ6c</t>
  </si>
  <si>
    <t>Where will NIFTY reach next? Technical Analysis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4/10/22</t>
  </si>
  <si>
    <t>https://i.ytimg.com/vi/I5w8FTdNZ6c/hqdefault.jpg</t>
  </si>
  <si>
    <t>How To Draw Perfect Trendlines? Powerful Trading Strategies using Trendlines</t>
  </si>
  <si>
    <t>https://www.youtube.com/watch?v=Oulve6K3u7o</t>
  </si>
  <si>
    <t>Oulve6K3u7o</t>
  </si>
  <si>
    <t>How To Draw Perfect Trendlines? Powerful Trading Strategies using Trendlines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In this video:
0:00 Introduction
2:25 How to draw trendlines?
8:20 Why do trendlines work?
20:21 Time frame for trendlines
11:09 Trendline strategies 
16:40 Strategy 2
20:07 Recap and learnings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and Manek Agicha
Date: 3/10/22</t>
  </si>
  <si>
    <t>https://i.ytimg.com/vi/Oulve6K3u7o/hqdefault.jpg</t>
  </si>
  <si>
    <t>How This Trader Made it Big Alongside a Job? Trading ki Baat with Ronak Unadkat | Episode 2</t>
  </si>
  <si>
    <t>https://www.youtube.com/watch?v=1bLRgdUdQXc</t>
  </si>
  <si>
    <t>1bLRgdUdQXc</t>
  </si>
  <si>
    <t>How This Trader Made it Big Alongside a Job? Trading ki Baat with Ronak Unadkat | Episode 2
For educational videos on trading, please subscribe to the Trading with Groww channel: https://openinapp.co/youtube/trading-with-groww
In this video:
0:00 Introduction
0:22 Introduction to Ronak Unadkat
2:04 Initial Trading Journey
7:32 Gujarati influence 
8:46 Full-time trading experience
11:15 Discretionary trading 
13:00 Can traders make it big in discretionary trading?
15:43 Spreads and Ratios Trading
20:17 Where to buy the hedges?
23:42 Strategies
30:03 Indicators and Open Interest
33:02 Risk Management Framework
38:07 Scaling up your trading
40:20 Losses in market
42:26 Return expectancy from market
45:30 Trading Tips 
48:48 Learnings &amp; recap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</si>
  <si>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https://i.ytimg.com/vi/1bLRgdUdQXc/hqdefault.jpg</t>
  </si>
  <si>
    <t>The Trend Following Market Wizard: Ed Seykota !!</t>
  </si>
  <si>
    <t>https://www.youtube.com/watch?v=CzxoI3fIKac</t>
  </si>
  <si>
    <t>CzxoI3fIKac</t>
  </si>
  <si>
    <t>Ed Seykota: The Trend Following Market Wizard!!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30-09-2022</t>
  </si>
  <si>
    <t>https://i.ytimg.com/vi/CzxoI3fIKac/hqdefault.jpg</t>
  </si>
  <si>
    <t>Top 3 Momentum Stocks For Swing Trading | Technical Analysis (29-09-2022)</t>
  </si>
  <si>
    <t>https://www.youtube.com/watch?v=GinwzELoWqU</t>
  </si>
  <si>
    <t>GinwzELoWqU</t>
  </si>
  <si>
    <t>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</si>
  <si>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https://i.ytimg.com/vi/GinwzELoWqU/hqdefault.jpg</t>
  </si>
  <si>
    <t>How To Use The Stochastic Indicator In Trading?</t>
  </si>
  <si>
    <t>https://www.youtube.com/watch?v=db7QvHtM_WY</t>
  </si>
  <si>
    <t>db7QvHtM_WY</t>
  </si>
  <si>
    <t>How To Use The Stochastic Oscillator In Trading
In this video:
0:00 Introduction
0:46 Difference between leading and lagging indicator
2:52 Advantages of leading indicators
3:29 How to use stochastic oscillator?
6:40 Stochastic oscillator settings
8:30 Stochastic for intraday and positional trading
12:00 Strategies using stochastic oscillator
15:02 Recap &amp; learnings of stochastic indicator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28-09-2022</t>
  </si>
  <si>
    <t>https://i.ytimg.com/vi/db7QvHtM_WY/hqdefault.jpg</t>
  </si>
  <si>
    <t>Long Buildup, Short Covering, Short Buildup, Long Unwinding Explained!! Option Chain Practicals</t>
  </si>
  <si>
    <t>https://www.youtube.com/watch?v=XRtXHACXcyM</t>
  </si>
  <si>
    <t>XRtXHACXcyM</t>
  </si>
  <si>
    <t>Long Buildup, Short Covering, Short Buildup, Long Unwinding Explained!! Option Chain Practicals
Google sheet: https://docs.google.com/spreadsheets/d/1NqtyMQ6zKPTSWrNsnAZrw1Bt23wfxHFSiCORFggj89c/edit#gid=0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27/09/22</t>
  </si>
  <si>
    <t>https://i.ytimg.com/vi/XRtXHACXcyM/hqdefault.jpg</t>
  </si>
  <si>
    <t>How This Engineer Became a Successful Trader? Trading ki Baat with Manu Bhatia &amp; Arjun | Episode 1</t>
  </si>
  <si>
    <t>https://www.youtube.com/watch?v=LDqGf_NUrTQ</t>
  </si>
  <si>
    <t>LDqGf_NUrTQ</t>
  </si>
  <si>
    <t>How This Engineer Became a Successful Trader? Trading ki Baat with Manu Bhatia &amp; Arjun | Episode 1
In this video:
0:00 Introduction
0:46 Manu Bhatia Introduction
4:20 Do engineers have an edge in trading?
5:51 Does aggression in trading pay off?
9:00 Percentage return to target for
11:30 Proper Risk Management
19:18 Eternal debate on Price action vs Indicators
24:43 Should we override the trading system?
27:48 Are the market dynamics changing?
29:50 How do we know if a Trading system has lost its edge?
31:58 Trading Goals
35:00 Checklist for full-time trading
38:08 Daily routine to stay focused
40:34 Why social media?
44:02 Rapid Fire round
46:24 Advice for new traders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</si>
  <si>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https://i.ytimg.com/vi/LDqGf_NUrTQ/hqdefault.jpg</t>
  </si>
  <si>
    <t>Jessie Livermore: The Story Of Trader From Poverty To Riches And Back Again!!</t>
  </si>
  <si>
    <t>https://www.youtube.com/watch?v=JZo5ZtRMAU8</t>
  </si>
  <si>
    <t>JZo5ZtRMAU8</t>
  </si>
  <si>
    <t>Jessie Livermore: The  Fearful Tale Of A Wall Street Trader From Poverty To Riches And Back Again!!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22/09/22</t>
  </si>
  <si>
    <t>https://i.ytimg.com/vi/JZo5ZtRMAU8/hqdefault.jpg</t>
  </si>
  <si>
    <t>Top 3 Bullish Stocks For Swing Trading | Technical Analysis (21-09-2022)</t>
  </si>
  <si>
    <t>https://www.youtube.com/watch?v=CPsvv2c8n7Q</t>
  </si>
  <si>
    <t>CPsvv2c8n7Q</t>
  </si>
  <si>
    <t>Top 3 Bullish Stocks For Swing Trading | Technical Analysis (21-09-2022)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21-09-2022</t>
  </si>
  <si>
    <t>https://i.ytimg.com/vi/CPsvv2c8n7Q/hqdefault.jpg</t>
  </si>
  <si>
    <t>Continuation Chart Patterns: The Ultimate Guide for Trading Trending Stocks!!!</t>
  </si>
  <si>
    <t>https://www.youtube.com/watch?v=k6ARCeU5nw8</t>
  </si>
  <si>
    <t>k6ARCeU5nw8</t>
  </si>
  <si>
    <t>Continuation Chart Patterns: The Ultimate Guide for Trading Trending Stocks!!!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20/9/2022</t>
  </si>
  <si>
    <t>https://i.ytimg.com/vi/k6ARCeU5nw8/hqdefault.jpg</t>
  </si>
  <si>
    <t>Discover The Secrets Of Expiry Day Trading | Expiry Trading Strategies</t>
  </si>
  <si>
    <t>https://www.youtube.com/watch?v=H6wAU3TovQg</t>
  </si>
  <si>
    <t>H6wAU3TovQg</t>
  </si>
  <si>
    <t>Discover The Secrets Of Expiry Day Trading | Expiry Trading Strategies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</si>
  <si>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https://i.ytimg.com/vi/H6wAU3TovQg/hqdefault.jpg</t>
  </si>
  <si>
    <t>What is India Vix?</t>
  </si>
  <si>
    <t>https://www.youtube.com/watch?v=6T04APrcMuo</t>
  </si>
  <si>
    <t>6T04APrcMuo</t>
  </si>
  <si>
    <t>What is India Vix?
In this video,
0:00 Introduction
0:25 What is volatility in trading?
4:41 What is India VIX?
7:55 Option buying in a high VIX environment 
13:01 Option selling in a high VIX environment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15-09-2022</t>
  </si>
  <si>
    <t>https://i.ytimg.com/vi/6T04APrcMuo/hqdefault.jpg</t>
  </si>
  <si>
    <t>Top 3 Bullish Stocks For Swing Trading | Technical Analysis</t>
  </si>
  <si>
    <t>https://www.youtube.com/watch?v=bFmOurzbBqY</t>
  </si>
  <si>
    <t>bFmOurzbBqY</t>
  </si>
  <si>
    <t>Top 3 Bullish Stocks For Swing Trading | Technical Analysis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14-09-2022</t>
  </si>
  <si>
    <t>https://i.ytimg.com/vi/bFmOurzbBqY/hqdefault.jpg</t>
  </si>
  <si>
    <t>Jim Simons: The Inspiring Story of How A Math Teacher Became Rich Through Trading</t>
  </si>
  <si>
    <t>https://www.youtube.com/watch?v=dsn8qOlTqMs</t>
  </si>
  <si>
    <t>dsn8qOlTqMs</t>
  </si>
  <si>
    <t>Jim Simons: The Inspiring Story of How A Math Teacher Became Rich Through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13-09-2022</t>
  </si>
  <si>
    <t>https://i.ytimg.com/vi/dsn8qOlTqMs/hqdefault.jpg</t>
  </si>
  <si>
    <t>Positional Trading For Beginners (Strategies &amp; Risk Management)</t>
  </si>
  <si>
    <t>https://www.youtube.com/watch?v=M2eESffQjbc</t>
  </si>
  <si>
    <t>M2eESffQjbc</t>
  </si>
  <si>
    <t>Positional Trading For Beginners (Strategies &amp; Risk Management)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&amp; Aseem Singhal
Date:12-09-2022</t>
  </si>
  <si>
    <t>https://i.ytimg.com/vi/M2eESffQjbc/hqdefault.jpg</t>
  </si>
  <si>
    <t>Top 4 Bullish Stocks For Swing Trading | Technical Analysis</t>
  </si>
  <si>
    <t>https://www.youtube.com/watch?v=rIXaco9q1PU</t>
  </si>
  <si>
    <t>rIXaco9q1PU</t>
  </si>
  <si>
    <t>Top 4 Bullish Stocks For Swing Trading | Technical Analysis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8-09-2022</t>
  </si>
  <si>
    <t>https://i.ytimg.com/vi/rIXaco9q1PU/hqdefault.jpg</t>
  </si>
  <si>
    <t>5 Powerful Ways To Predict Stock Market Trend Reversals | Trading For Beginners</t>
  </si>
  <si>
    <t>https://www.youtube.com/watch?v=w595pAY8kxo</t>
  </si>
  <si>
    <t>w595pAY8kxo</t>
  </si>
  <si>
    <t>5 Powerful Ways To Predict Stock Market Trend Reversals | Trading For Beginners
In this video,
0:00 Introduction
2:02 Trendline method
6:52 Dow theory-based reversal
11:00 Reversal chart patterns
13:25 Volume-based reversal
16:00 RSI divergence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7-9-2022</t>
  </si>
  <si>
    <t>https://i.ytimg.com/vi/w595pAY8kxo/hqdefault.jpg</t>
  </si>
  <si>
    <t>Pre Market Prep Kaise Kare? | Intraday Trading For Beginners</t>
  </si>
  <si>
    <t>https://www.youtube.com/watch?v=aaPfqdQCsXM</t>
  </si>
  <si>
    <t>aaPfqdQCsXM</t>
  </si>
  <si>
    <t>Pre Market Prep Kaise Kare? | Intraday Trading For Beginners
Trader's Corner : https://groww.in/p/traders-corner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6-09-2022
#premarketanalysis #stockmarket #trading</t>
  </si>
  <si>
    <t>https://i.ytimg.com/vi/aaPfqdQCsXM/hqdefault.jpg</t>
  </si>
  <si>
    <t>3 Best Price Action Trading Secrets |The Ultimate Guide</t>
  </si>
  <si>
    <t>https://www.youtube.com/watch?v=Iw7iCnsTiJA</t>
  </si>
  <si>
    <t>Iw7iCnsTiJA</t>
  </si>
  <si>
    <t>3 Best Price Action Trading Secrets |The Ultimate Guide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Vishal Mehta
Date: 5-09-2022</t>
  </si>
  <si>
    <t>https://i.ytimg.com/vi/Iw7iCnsTiJA/hqdefault.jpg</t>
  </si>
  <si>
    <t>You Should Stop Trading If You Are Doing This! Trading For Beginners</t>
  </si>
  <si>
    <t>https://www.youtube.com/watch?v=t9-yU98geXI</t>
  </si>
  <si>
    <t>t9-yU98geXI</t>
  </si>
  <si>
    <t>You Should Stop Trading If You Are Doing This!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2-09-2022</t>
  </si>
  <si>
    <t>https://i.ytimg.com/vi/t9-yU98geXI/hqdefault.jpg</t>
  </si>
  <si>
    <t>Top 4 Banking Stocks To Watch Out For | Technical Analysis</t>
  </si>
  <si>
    <t>https://www.youtube.com/watch?v=Lhbepmpfyt4</t>
  </si>
  <si>
    <t>Lhbepmpfyt4</t>
  </si>
  <si>
    <t>Top 4 Banking Stocks To Watch Out For | Technical Analysis
Breakout Trading: https://youtu.be/TV2wu1kJjq8
Volumes in Trading: https://youtu.be/9pzwxxs8IQc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1-09-2022</t>
  </si>
  <si>
    <t>https://i.ytimg.com/vi/Lhbepmpfyt4/hqdefault.jpg</t>
  </si>
  <si>
    <t>How To Start Your Trading Journey The Right Way? | Siddharth Bhanushali &amp; Sharique Samsudheen</t>
  </si>
  <si>
    <t>https://www.youtube.com/watch?v=fJJgKUw0CZc</t>
  </si>
  <si>
    <t>fJJgKUw0CZc</t>
  </si>
  <si>
    <t>How To Start Your Trading Journey The Right Way? | Siddharth Bhanushali &amp; Sharique Samsudheen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</si>
  <si>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https://i.ytimg.com/vi/fJJgKUw0CZc/hqdefault.jpg</t>
  </si>
  <si>
    <t>ADX Indicator: Use This Tool To Find Momentum In The Market!</t>
  </si>
  <si>
    <t>https://www.youtube.com/watch?v=ByJ5cfSqWww</t>
  </si>
  <si>
    <t>ByJ5cfSqWww</t>
  </si>
  <si>
    <t>ADX Indicator: Use This Tool To Find Momentum In The Market!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30-08-2022</t>
  </si>
  <si>
    <t>https://i.ytimg.com/vi/ByJ5cfSqWww/hqdefault.jpg</t>
  </si>
  <si>
    <t>The 5 Minute Intraday Trading Strategy for Beginners</t>
  </si>
  <si>
    <t>https://www.youtube.com/watch?v=0hT7FDjP_Sw</t>
  </si>
  <si>
    <t>0hT7FDjP_Sw</t>
  </si>
  <si>
    <t>The 5 Minute Intraday Trading Strategy for Beginners
For educational videos on trading, please subscribe to the Trading with Groww channel: https://openinapp.co/youtube/trading-with-groww
0: 00 Introduction 
3:51 Mistakes of intraday traders
8:21 Strategy
15:55 Entry rules 
26:21 Examples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29-08-2022</t>
  </si>
  <si>
    <t>https://i.ytimg.com/vi/0hT7FDjP_Sw/hqdefault.jpg</t>
  </si>
  <si>
    <t>What Rule-Based Trading Is All About | Kirubakaran, Vivek Gadodia &amp; Sonam</t>
  </si>
  <si>
    <t>https://www.youtube.com/watch?v=veO9LT5eDXI</t>
  </si>
  <si>
    <t>veO9LT5eDXI</t>
  </si>
  <si>
    <t>What Rule-Based Trading Is All About | Kirubakaran, Vivek Gadodia &amp; Sonam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t>
  </si>
  <si>
    <t>https://i.ytimg.com/vi/veO9LT5eDXI/hqdefault.jpg</t>
  </si>
  <si>
    <t>Elliott Wave Theory For Trading | Basics of Elliott Wave</t>
  </si>
  <si>
    <t>https://www.youtube.com/watch?v=7dZcbglSEN8</t>
  </si>
  <si>
    <t>7dZcbglSEN8</t>
  </si>
  <si>
    <t>Elliot Wave Theory For Trading | Basics of Elliot Wave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26-08-2022</t>
  </si>
  <si>
    <t>https://i.ytimg.com/vi/7dZcbglSEN8/hqdefault.jpg</t>
  </si>
  <si>
    <t>Intraday Rule Based Option Selling Strategy | 9:20 Straddle</t>
  </si>
  <si>
    <t>https://www.youtube.com/watch?v=UaQdmqK7SG4</t>
  </si>
  <si>
    <t>UaQdmqK7SG4</t>
  </si>
  <si>
    <t>Intraday Rule Based Option Selling Strategy | 9:20 Straddle 
In this video,
0:00 Introduction
1:50 Why should we follow a system?
3:42 920 straddle
10:05 Variations
16:07 When to stop following a system?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25-08-2022</t>
  </si>
  <si>
    <t>https://i.ytimg.com/vi/UaQdmqK7SG4/hqdefault.jpg</t>
  </si>
  <si>
    <t>How to use Multiple Indicators for Trading? | Trading Systems</t>
  </si>
  <si>
    <t>https://www.youtube.com/watch?v=QMm4cQS9DcQ</t>
  </si>
  <si>
    <t>QMm4cQS9DcQ</t>
  </si>
  <si>
    <t>How to use Multiple Indicators for Trading? | Trading Systems
In this video:
0:39  How to combine trading indicators
3:02 Strategy with ADX &amp; Bollinger band
12:32 Strategy with Supertrend and RSI
18:11 Recap &amp;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24-08-2022</t>
  </si>
  <si>
    <t>https://i.ytimg.com/vi/QMm4cQS9DcQ/hqdefault.jpg</t>
  </si>
  <si>
    <t>Is It Time To Buy Adani Group Of Stocks? Adani Shares Latest News</t>
  </si>
  <si>
    <t>https://www.youtube.com/watch?v=dWi6WCx2moc</t>
  </si>
  <si>
    <t>dWi6WCx2moc</t>
  </si>
  <si>
    <t>Is It Time To Buy Adani Group Of Stocks? Adani Shares Latest News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23-08-2022</t>
  </si>
  <si>
    <t>https://i.ytimg.com/vi/dWi6WCx2moc/hqdefault.jpg</t>
  </si>
  <si>
    <t>Stock Trading Vs Index Trading: Which is Better for You? | Trading For Beginners</t>
  </si>
  <si>
    <t>https://www.youtube.com/watch?v=ChXClEkaL2U</t>
  </si>
  <si>
    <t>ChXClEkaL2U</t>
  </si>
  <si>
    <t>Stock Trading Vs Index Trading: Which is Better for You?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19-08-2022</t>
  </si>
  <si>
    <t>https://i.ytimg.com/vi/ChXClEkaL2U/hqdefault.jpg</t>
  </si>
  <si>
    <t>Option Chain Analysis: How to Trade Options Effectively | Options Trading</t>
  </si>
  <si>
    <t>https://www.youtube.com/watch?v=9Su8zKCCKDM</t>
  </si>
  <si>
    <t>9Su8zKCCKDM</t>
  </si>
  <si>
    <t>Option Chain Analysis: How to Trade Options Effectively | Options Trading
In this video:
0:00 Introduction
1:35 Understanding option chian
11:44 Option chain trading strategies
17:46 Fin Nifty strategy
22:50 Recap &amp;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&amp; Aseem Singhal
Date: 18-08-2022</t>
  </si>
  <si>
    <t>https://i.ytimg.com/vi/9Su8zKCCKDM/hqdefault.jpg</t>
  </si>
  <si>
    <t>Opening Range Breakout Strategy | Intraday Trading Strategy</t>
  </si>
  <si>
    <t>https://www.youtube.com/watch?v=BxgmoqKcFWM</t>
  </si>
  <si>
    <t>BxgmoqKcFWM</t>
  </si>
  <si>
    <t>Opening Range Breakout Strategy | Intraday Trading Strategy 
In this video
0:00 Introduction
0:30 What is ORB Strategy
0:58 ORB trade examples
7:57 ORB strategy backtest
10:20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17-08-2022</t>
  </si>
  <si>
    <t>https://i.ytimg.com/vi/BxgmoqKcFWM/hqdefault.jpg</t>
  </si>
  <si>
    <t>Volume Trading: How To Use Volume Indicator For Analysis</t>
  </si>
  <si>
    <t>https://www.youtube.com/watch?v=9pzwxxs8IQc</t>
  </si>
  <si>
    <t>9pzwxxs8IQc</t>
  </si>
  <si>
    <t>Volume Trading: How To Use Volume Indicator For Analysis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16-08-2022</t>
  </si>
  <si>
    <t>https://i.ytimg.com/vi/9pzwxxs8IQc/hqdefault.jpg</t>
  </si>
  <si>
    <t>Options Theta Decay: What You Need To Know Before BUYING OPTIONS | Options Trading</t>
  </si>
  <si>
    <t>https://www.youtube.com/watch?v=BRzUwtmWS4w</t>
  </si>
  <si>
    <t>BRzUwtmWS4w</t>
  </si>
  <si>
    <t>Option Theta Decay: What You Need To Know Before BUYING OPTIONS | Options Trading
In this video:
0:00 Introduction
0:36 What is time value?
2:55 How to find the intrinsic value of an option?
4:00 How to find the extrinsic value of an option?
6:19 Impact of theta decay on option buyers
8:37 Impact of theta decay on overnight scenario
10:57 Overnight option buying example
15:00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12-08-2022</t>
  </si>
  <si>
    <t>https://i.ytimg.com/vi/BRzUwtmWS4w/hqdefault.jpg</t>
  </si>
  <si>
    <t>A Simple and Powerful Equity Intraday Strategy</t>
  </si>
  <si>
    <t>https://www.youtube.com/watch?v=UWC0PW7vEAg</t>
  </si>
  <si>
    <t>UWC0PW7vEAg</t>
  </si>
  <si>
    <t>A Simple and Powerful Equity Intraday Strategy 
In this video,
0:00 Introduction
2:03 Trading Strategy
7:20 Rules for the strategy
9:40 Backtest and result
15:59 How to pick stocks 
17:28 Variations
21:14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11/08/2022</t>
  </si>
  <si>
    <t>https://i.ytimg.com/vi/UWC0PW7vEAg/hqdefault.jpg</t>
  </si>
  <si>
    <t>How to use TradingView charts on Groww ? | Groww App Me TradingView Chart Kaise Dekhe?</t>
  </si>
  <si>
    <t>https://www.youtube.com/watch?v=v6sxePWDhR4</t>
  </si>
  <si>
    <t>v6sxePWDhR4</t>
  </si>
  <si>
    <t>How to use TradingView charts on Groww ? | Groww App Me TradingView Chart Kaise Dekhe?
Trade like a Pro with Groww's Integrated TradingView Charts
In this video, we show how to use TradingView charts on the Groww platform and also educated you about some of the features of trading view charts.
0:00 Introduction
0:28 How to use TradingView charts on Groww
2:11 TradingView Magnet Mode
5:04 Changing the style of the chart
5:58 Indicators on TradingView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10-08-2022
#trading #tradingview #stockmarket</t>
  </si>
  <si>
    <t>https://i.ytimg.com/vi/v6sxePWDhR4/hqdefault.jpg</t>
  </si>
  <si>
    <t>Van Tharp: The Trader With Most Powerful Trading Principles You'll Ever Hear (Risk Management)</t>
  </si>
  <si>
    <t>https://www.youtube.com/watch?v=dW78olRrreQ</t>
  </si>
  <si>
    <t>dW78olRrreQ</t>
  </si>
  <si>
    <t>Van Tharp: The Trader With Most Powerful Trading Principles You'll Ever Hear (Risk Management)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8-08-2022</t>
  </si>
  <si>
    <t>https://i.ytimg.com/vi/dW78olRrreQ/hqdefault.jpg</t>
  </si>
  <si>
    <t>What should be your realistic return expectations from Stock Market? | Trading with Groww</t>
  </si>
  <si>
    <t>https://www.youtube.com/watch?v=FzGFKPv_56M</t>
  </si>
  <si>
    <t>FzGFKPv_56M</t>
  </si>
  <si>
    <t>What should be your realistic return expectations from Stock Market?
In this video,
0:00 Introduction
0:41 Realistic return from the stock market
3:23 What should be our benchmark?
4:20 Three men in markets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Vishal Mehta
Date:5</t>
  </si>
  <si>
    <t>https://i.ytimg.com/vi/FzGFKPv_56M/hqdefault.jpg</t>
  </si>
  <si>
    <t>Dow Theory in Technical Analysis | Everything you need to know!</t>
  </si>
  <si>
    <t>https://www.youtube.com/watch?v=yAsO_jBfplI</t>
  </si>
  <si>
    <t>yAsO_jBfplI</t>
  </si>
  <si>
    <t>Dow Theory in Technical Analysis | Everything you need to know!
In this video
0:00 Introduction
0:38 History of dow theory
1:19 Pillars of dow theory
2:51 Phases of market
5:00 Phases with example
8:23 Market trends 
13:18 Price is everything 
14:25 Swing identification 
19:30 Trend identification
24:22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4/08/2022</t>
  </si>
  <si>
    <t>https://i.ytimg.com/vi/yAsO_jBfplI/hqdefault.jpg</t>
  </si>
  <si>
    <t>How To Set A Proper Stop Loss | Trading For Beginners</t>
  </si>
  <si>
    <t>https://www.youtube.com/watch?v=DhVvodHNVUE</t>
  </si>
  <si>
    <t>DhVvodHNVUE</t>
  </si>
  <si>
    <t>How To Set A Proper Stop Loss | Trading For Beginners
In this "How To Set A Proper Stop Loss | Trading For Beginners" video, we discuss the importance of Stop Loss and answer the crucial question "Where to place Stop Loss". We also go on to discuss stop loss hunting and how to be protected from it.
0:00 Introduction
2:20 Importance of stop loss
7:07 Different methods of placing stop loss
8:50 Percentage-wise stop loss
10:41 Pivot-based method
12:57 Stop loss using moving average
16:28 Stop loss market and stop loss limit
18:14 How to place stop loss on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3-08-2022</t>
  </si>
  <si>
    <t>https://i.ytimg.com/vi/DhVvodHNVUE/hqdefault.jpg</t>
  </si>
  <si>
    <t>OPTION GREEKS: The Five Pillars Of Options Trading | Options Trading For Beginners</t>
  </si>
  <si>
    <t>https://www.youtube.com/watch?v=3OzpptG23UU</t>
  </si>
  <si>
    <t>3OzpptG23UU</t>
  </si>
  <si>
    <t>OPTION GREEKS: The Five Pillars Of Options Trading | Options Trading For Beginners
In this video, Vishal Mehta has explained Option greeks in Hindi in a very unique way. We cover Option Greek Delta, and Option Greek Theta along with Gamma, Vega, and Rho. Watching this video till the end will definitely help you understand how to trade in options and you will have complete clarity on what are option greeks and how to use them for options trading
0:00 Introduction 
0:45 Why does option price move?
1:50 What are option greeks?
3:15 The 5 pillars of option greeks
5:08 Delta explained
8:46 Gamma explained
10:19 Theta explained
12:32 Vega explained
13:33 Rho explained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To know more about Groww,
Visit: https://groww.in/
Download Groww App📱
https://groww.app.link/HY3iy0TsUS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Vishal Mehta
Date: 1-08-2022</t>
  </si>
  <si>
    <t>https://i.ytimg.com/vi/3OzpptG23UU/hqdefault.jpg</t>
  </si>
  <si>
    <t>Short Straddle Adjustments | Learn How To Manage A Straddle</t>
  </si>
  <si>
    <t>https://www.youtube.com/watch?v=tIXbZj3YwKM</t>
  </si>
  <si>
    <t>tIXbZj3YwKM</t>
  </si>
  <si>
    <t>Short Straddle Adjustments | Learn How To Manage A Straddle
In this video:
0:00 Introduction
0:40 Short straddle recap
1:20 Adjustments to short straddle
1:48 Example1
4:12 Rules of adjustment
4:40 Example 1 continued
16:16 Example 2
23:00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28/7/2022</t>
  </si>
  <si>
    <t>https://i.ytimg.com/vi/tIXbZj3YwKM/hqdefault.jpg</t>
  </si>
  <si>
    <t>Zomato share is falling | Zomato share technical analysis | Zomato share latest news</t>
  </si>
  <si>
    <t>https://www.youtube.com/watch?v=P66EsXw8xiY</t>
  </si>
  <si>
    <t>P66EsXw8xiY</t>
  </si>
  <si>
    <t>Zomato share is falling | Zomato share technical analysis | Zomato share latest news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</si>
  <si>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https://i.ytimg.com/vi/P66EsXw8xiY/hqdefault.jpg</t>
  </si>
  <si>
    <t>The 6 Most Common Trading Mistakes - Which One Are You Making?</t>
  </si>
  <si>
    <t>https://www.youtube.com/watch?v=g2QDMqKORhA</t>
  </si>
  <si>
    <t>g2QDMqKORhA</t>
  </si>
  <si>
    <t>The 6 Most Common Trading Mistakes - Which One Are You Making?
In this video:
0:00 Introduction
0:33 6 mistakes to avoid
10:00 Recap &amp; learnings
trading mistakes, trading mistakes to avoid, trading mistakes for beginners, trading mistakes in hindi, trading mistakes to avoid hindi,  common trading mistakes, common day trading mistakes, 6 most common trading mistakes, psychological trading mistakes, top trading mistakes,  biggest trading mistakes, biggest option trading mistakes, biggest day trading mistakes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26/07/2022</t>
  </si>
  <si>
    <t>https://i.ytimg.com/vi/g2QDMqKORhA/hqdefault.jpg</t>
  </si>
  <si>
    <t>This is how you stay a step ahead of the market trends: Best leading indicators</t>
  </si>
  <si>
    <t>https://www.youtube.com/watch?v=4iBNHKGd4mU</t>
  </si>
  <si>
    <t>4iBNHKGd4mU</t>
  </si>
  <si>
    <t>This is how you stay a step ahead of the market trends: Best leading indicators
In this video, we will discuss what are leading indicators, their importance, and two prominent leading indicators which are RSI &amp; Stochastic. We will create a simple trading strategy using RSI and stochastic. 
0:00 Introduction 
0:35 What are the leading indicators?
5:16 Why should we use leading indicators?
7:09 Trading strategy using leading indicators
14:35 Recap &amp; learnings
Leading indicators, leading indicators in trading, leading indicators for intraday trading,
leading indicator for intraday, leading indicator vs lagging indicator, leading indicators in stock market, rsi, rsi divergence trading startegy, rsi divergence indicator, rsi diversion, rsi divergence trading strategy, stochastic indicator, stochastic indicator in hindi, stochastic indicator strategy, stochastic trading strategy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25/07/2022</t>
  </si>
  <si>
    <t>https://i.ytimg.com/vi/4iBNHKGd4mU/hqdefault.jpg</t>
  </si>
  <si>
    <t>Open Interest Explained - You Will Master Trading After Watching This!</t>
  </si>
  <si>
    <t>https://www.youtube.com/watch?v=tvZ4y1W-HNc</t>
  </si>
  <si>
    <t>tvZ4y1W-HNc</t>
  </si>
  <si>
    <t>Open Interest Explained - You Will Master Trading After Watching This!
In this video, we learn all the secrets of Open Interest. We learn how to align our interests along the lines of smart money using open interest. We discover the way to determine support and resistance using OI and find the market direction with the same.
0:00 Introduction
0:30 How is OI different from volume?
3:50 Uses of OI
5:38 Option chain OI analysis
6:36 Support &amp; resistance using OI
11:20 Finding the direction of the market
13:54 MUST WATCH!!
14:56 Determining the strength 
18:54 How to trade?
20:07 Learnings &amp; recap
Open Interest trading strategy, open interest explained,  open interest in options trading, open interest analysis, open interest kya hota hai, open interest indicator, open interest Hindi, option chain, long unwinding, short covering, long buildup, short buildup, long buildup &amp; short buildup, long buildup in stocks, short buildup in stocks, long building, long buildup strategy, short building, short buildup strategy, long build-up in options, short build-up in options, open interest and volume, volume analysis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</si>
  <si>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https://i.ytimg.com/vi/tvZ4y1W-HNc/hqdefault.jpg</t>
  </si>
  <si>
    <t>Bajaj Auto  Vs  Mahindra &amp; Mahindra | Technical analysis of stocks</t>
  </si>
  <si>
    <t>https://www.youtube.com/watch?v=iDQUjJWJWYc</t>
  </si>
  <si>
    <t>iDQUjJWJWYc</t>
  </si>
  <si>
    <t>Bajaj Auto  Vs  Mahindra &amp; Mahindra | Technical analysis of stocks
In this video, we have compared Nifty Auto and Nifty 50 in terms of technical analysis. We have further gone ahead and done a detailed technical analysis of 2 stocks namely Bajaj Auto Ltd and Mahindra &amp; Mahindra Ltd. We compare Bajaj Auto's share price and Mahindra &amp; Mahindra to decide which of the two looks more bullish.
0:00 Introduction
0:36 Nifty analysis
2:40 Nifty auto analysis
4:50 Bajaj Auto analysis
6:54 Mahindra &amp; Mahindra analysis
9:30 Learnings &amp; recap
#bajajautoshare #mahindra&amp;mahindrashare #bajajautotechnical #mahindra&amp;mahindratechnical #niftyauto #nifty50 #bajajautoshareanalysis #mahindra&amp;mahindrashareanalysis #mahindra&amp;mahindrasharenews #bajajautosharenews #technicalanalysis #technicalanalysisofstocks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Useful Links: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20-07-2022</t>
  </si>
  <si>
    <t>https://i.ytimg.com/vi/iDQUjJWJWYc/hqdefault.jpg</t>
  </si>
  <si>
    <t>Iron Condor: The Improved Version of Short Strangle</t>
  </si>
  <si>
    <t>https://www.youtube.com/watch?v=e5PdHZyaAyQ</t>
  </si>
  <si>
    <t>e5PdHZyaAyQ</t>
  </si>
  <si>
    <t>Iron Condor: The Improved Version of Short Strangle 
In this video:
0:00 Introduction
0:30 Strangle recap
0:49 Iron Condor explained
6:54 Strategy building &amp; variations 
14:00 Learnings &amp;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19-07-2022</t>
  </si>
  <si>
    <t>https://i.ytimg.com/vi/e5PdHZyaAyQ/hqdefault.jpg</t>
  </si>
  <si>
    <t>Watch This to Trade Breakouts Like a Pro!</t>
  </si>
  <si>
    <t>https://www.youtube.com/watch?v=TV2wu1kJjq8</t>
  </si>
  <si>
    <t>TV2wu1kJjq8</t>
  </si>
  <si>
    <t>Watch This to Trade Breakouts Like a Pro!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18-07-2022</t>
  </si>
  <si>
    <t>https://i.ytimg.com/vi/TV2wu1kJjq8/hqdefault.jpg</t>
  </si>
  <si>
    <t>BTST TRADING STRATEGY</t>
  </si>
  <si>
    <t>https://www.youtube.com/watch?v=WgqMCd93X0k</t>
  </si>
  <si>
    <t>WgqMCd93X0k</t>
  </si>
  <si>
    <t>BTST TRADING STRATEGY.
BTST Trading involves buying stocks on one day and selling the same on the next day. In this video, we cover everything one needs to know about BTST &amp; STBT Trading including strategies and their risks.
BTST Trading, STBT Trading, BTST stock selection, BTST Trade, BTST Stocks, BTST stock trading, Buy Today Sell Tomorrow, Sell Today Buy Tomorrow, BTST STBT, BTST strategies, BTST options, BTST equity, STBT options, STBT eequity
In this video,
0:00 Introduction
0:54 What is BTST 
3:16 Simple powerful strategy (Must watch)
6:09 Risks involved in BTST
7:55 Strategies of BTST 
10:46 What is STBT
12:15 How to do BTST/STBT in options?
14:38 Examples 
18:44 Modifications of the strategy
20:27 How to do BTST on groww platform
24:27 Drawdown on BTST strategy
26:15 Recap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&amp; Aseem Singhal
Date: 14-07-2022</t>
  </si>
  <si>
    <t>https://i.ytimg.com/vi/WgqMCd93X0k/hqdefault.jpg</t>
  </si>
  <si>
    <t>Britannia Technical Analysis | Britannia industries share news | Technical analysis of stocks</t>
  </si>
  <si>
    <t>https://www.youtube.com/watch?v=Ytevg-kl2-Y</t>
  </si>
  <si>
    <t>Ytevg-kl2-Y</t>
  </si>
  <si>
    <t>Britannia Technical Analysis | Britannia industries share news | Technical analysis of stocks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13-07-2022
Britannia Technical Analysis | Britannia share price | Britannia stock analysis | Britannia share analysis| Britannia stock latest | Britannia Share Price | Britannia Technicals| Britannia share technical analysis</t>
  </si>
  <si>
    <t>https://i.ytimg.com/vi/Ytevg-kl2-Y/hqdefault.jpg</t>
  </si>
  <si>
    <t>ADD STOP-LOSS TO YOUR INTRADAY ORDERS</t>
  </si>
  <si>
    <t>https://www.youtube.com/watch?v=-yUjnkxu_UU</t>
  </si>
  <si>
    <t>-yUjnkxu_UU</t>
  </si>
  <si>
    <t>ADD STOP-LOSS TO YOUR INTRADAY ORDERS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Date:12-07-2022</t>
  </si>
  <si>
    <t>https://i.ytimg.com/vi/-yUjnkxu_UU/hqdefault.jpg</t>
  </si>
  <si>
    <t>Paper Trading For Beginners | Paper Trading Kaise Kare? | Trading For Beginners</t>
  </si>
  <si>
    <t>https://www.youtube.com/watch?v=_5HE5ZQq_OM</t>
  </si>
  <si>
    <t>_5HE5ZQq_OM</t>
  </si>
  <si>
    <t>Paper Trading For Beginners | Paper Trading Kaise Kare?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11-07-2022
#papertrading #trading #stockmarket</t>
  </si>
  <si>
    <t>https://i.ytimg.com/vi/_5HE5ZQq_OM/hqdefault.jpg</t>
  </si>
  <si>
    <t>ITC Technical Analysis - This Is What You Need To Know</t>
  </si>
  <si>
    <t>https://www.youtube.com/watch?v=BWCDwBbsvtk</t>
  </si>
  <si>
    <t>BWCDwBbsvtk</t>
  </si>
  <si>
    <t>ITC Technical Analysis - This Is What You Need To Know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10-7-2022</t>
  </si>
  <si>
    <t>https://i.ytimg.com/vi/BWCDwBbsvtk/hqdefault.jpg</t>
  </si>
  <si>
    <t>Butterfly : Best Option Strategy For Beginners, Low Risk High Reward</t>
  </si>
  <si>
    <t>https://www.youtube.com/watch?v=L5u-aiaESuA</t>
  </si>
  <si>
    <t>L5u-aiaESuA</t>
  </si>
  <si>
    <t>Butterfly: Best Option Strategy For Beginners, Low-Risk High Reward
In this video:
0:00 Introduction 
0:55 Options recap
3:24 Different types of Butterfly
5:07 Long Call Butterfly
6:00 Long Put Butterfly
6:58 Examples using option builder
15:04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7-7-2022</t>
  </si>
  <si>
    <t>https://i.ytimg.com/vi/L5u-aiaESuA/hqdefault.jpg</t>
  </si>
  <si>
    <t>Trend Following vs Mean Reversion - Which One Is Better? | Mean Reversion vs Momentum</t>
  </si>
  <si>
    <t>https://www.youtube.com/watch?v=sWYnEk4tDXI</t>
  </si>
  <si>
    <t>sWYnEk4tDXI</t>
  </si>
  <si>
    <t>Trend Following vs Mean Reversion - Which One Is Better? | Mean Reversion vs Momentum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5-7-2022
#trendfollowing #meanreversion #trading</t>
  </si>
  <si>
    <t>https://i.ytimg.com/vi/sWYnEk4tDXI/hqdefault.jpg</t>
  </si>
  <si>
    <t>This Tool Will Show You Everything You Need To Know About Support And Resistance Levels In Trading</t>
  </si>
  <si>
    <t>https://www.youtube.com/watch?v=bMc34ZA8Cs4</t>
  </si>
  <si>
    <t>bMc34ZA8Cs4</t>
  </si>
  <si>
    <t>This Tool Will Show You Everything You Need To Know About Support And Resistance Levels In Trading
In this video,
0:00 Introduction
3:35 Strategy discussion 
3:55 Example 1
6:10 Example 2
7:54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4-7-2022</t>
  </si>
  <si>
    <t>https://i.ytimg.com/vi/bMc34ZA8Cs4/hqdefault.jpg</t>
  </si>
  <si>
    <t>Heiken Ashi Trading Strategy for Beginners</t>
  </si>
  <si>
    <t>https://www.youtube.com/watch?v=w-3fKE1taf0</t>
  </si>
  <si>
    <t>w-3fKE1taf0</t>
  </si>
  <si>
    <t>Heiken Ashi Trading Strategy for Beginners
In this video,
0:00 Introduction
0:47 What is Heiken-Ashi
1:23 Uses 
4:02 Interpreting Heiken-Ashi
8:11 Strategy
10:30 Recap &amp;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1-07-2022</t>
  </si>
  <si>
    <t>https://i.ytimg.com/vi/w-3fKE1taf0/hqdefault.jpg</t>
  </si>
  <si>
    <t>Top 5 Swing Trading Signals to Watch Out | Trade Ideas For This Week</t>
  </si>
  <si>
    <t>https://www.youtube.com/watch?v=4R0fzyDVdLk</t>
  </si>
  <si>
    <t>4R0fzyDVdLk</t>
  </si>
  <si>
    <t>Top 5 Swing Trading Signals to Watch Out | Trade Ideas For This Week
In this video:
0:00 Introduction
1:05 Donchain Channel strategy
5:30 Trade Idea #1
6:52 Trade Idea #2
9:00 Trade Idea #3
11:46 Trade Idea #4
13:50 Trade Idea #5
16:01 Recap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30-06-2022</t>
  </si>
  <si>
    <t>https://i.ytimg.com/vi/4R0fzyDVdLk/hqdefault.jpg</t>
  </si>
  <si>
    <t>Scalping Trading Strategy - How Scalping Works and How to do it</t>
  </si>
  <si>
    <t>https://www.youtube.com/watch?v=ggDetYPpjEo</t>
  </si>
  <si>
    <t>ggDetYPpjEo</t>
  </si>
  <si>
    <t>Scalping Trading Strategy - How Scalping Works and How to do it
For educational videos on trading, please subscribe to the Trading with Groww channel: https://openinapp.co/youtube/trading-with-groww
In this video,
0:00 Introduction
0:36 What is scalping?
1:30 What analysis do scalpers use?
2:53 Principles for scalping
5:45 Difference between Intraday and Scalping
7:10 Scalper's Objective
8:12 Scalping in live market
12:26 Learnings &amp; recap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29-06-2022</t>
  </si>
  <si>
    <t>https://i.ytimg.com/vi/ggDetYPpjEo/hqdefault.jpg</t>
  </si>
  <si>
    <t>How to Trade Options For Maximum Profit - Using a Bull Call and Bear Put Strategy</t>
  </si>
  <si>
    <t>https://www.youtube.com/watch?v=zpLvii6WPxo</t>
  </si>
  <si>
    <t>zpLvii6WPxo</t>
  </si>
  <si>
    <t>How to Trade Options For Maximum Profit - Using a Bull Call and Bear Put Strategy
In this video,
0:00 Introduction
0:50 Different ways to trade
1:43 Bull Call Spread
2:10 Example of a winning trade (Bull Call Spread)
6:53 Example of a loss-making trade (Bull Call Spread)
11:03 Bear Put Spread
13:11 Conclusion &amp;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28-06-2022</t>
  </si>
  <si>
    <t>https://i.ytimg.com/vi/zpLvii6WPxo/hqdefault.jpg</t>
  </si>
  <si>
    <t>4 Methods for selecting stocks for Intraday Trading | Trading for beginners</t>
  </si>
  <si>
    <t>https://www.youtube.com/watch?v=Xssm5v6UP-8</t>
  </si>
  <si>
    <t>Xssm5v6UP-8</t>
  </si>
  <si>
    <t>4 Methods for Selecting Stocks for Intraday Trading | Trading for Beginners | Trendlyne screener
In this video,
0:00 Introduction
1:58 Different ways to select stocks
2:22 Liquidity
5:40 Top Gaines &amp; Losers
9:30 Watchlist
11:50 Use of Screeners (Trendlyne)
17:05 Conclusion and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27-06-2022</t>
  </si>
  <si>
    <t>https://i.ytimg.com/vi/Xssm5v6UP-8/hqdefault.jpg</t>
  </si>
  <si>
    <t>Simple Positional Option Trading Strategy</t>
  </si>
  <si>
    <t>https://www.youtube.com/watch?v=7g-FbW-O4Ck</t>
  </si>
  <si>
    <t>7g-FbW-O4Ck</t>
  </si>
  <si>
    <t>Simple Positional Option Trading Strategy
In this video:
0:00 Introduction
0:52 Things needed for this strategy
2:27 Timeframe for this strategy
2:40 Criteria for this strategy
7:23 Using options
14:48 Conclusion &amp; recommendations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</si>
  <si>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https://i.ytimg.com/vi/7g-FbW-O4Ck/hqdefault.jpg</t>
  </si>
  <si>
    <t>Put Call Ratio Explained: The Right Way To Interpret Put Call Ratio (PCR)</t>
  </si>
  <si>
    <t>https://www.youtube.com/watch?v=hRjMG3fGbB4</t>
  </si>
  <si>
    <t>hRjMG3fGbB4</t>
  </si>
  <si>
    <t>Put Call Ratio Explained: The Right Way To Interpret Put Call Ratio
In this video,
0:00 Introduction
0:36 What is Put Call ratio?
2:05 How to find PCR from NSE?
3:54 How to interpret PCR?
7:55 Limitations of PCR
8:40 Better way to find Put Call ratio
Put Call Ration, PCR, PCR Analysis, PCR interpretation, Put Call ratio analysis, Open interest, Option chain, Options PCR, Options analysis, OI analysis, PCR in Hindi, PCR Hindi, Put Call ratio explained, PCR explained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24-06-2022
About Groww
Groww is India’s Best Investment App and the Largest Stock Broker.
Find us here:
Android app: https://app.groww.in/v3cO/f9o4prne
iOS app - https://app.groww.in/v3cO/tu0yrc3e
Website - https://groww.in/</t>
  </si>
  <si>
    <t>https://i.ytimg.com/vi/hRjMG3fGbB4/hqdefault.jpg</t>
  </si>
  <si>
    <t>Top 5 Bollinger Bands Trade Signals For This Week</t>
  </si>
  <si>
    <t>https://www.youtube.com/watch?v=6tRfahNGXjk</t>
  </si>
  <si>
    <t>6tRfahNGXjk</t>
  </si>
  <si>
    <t>Top 5 Bollinger Bands Trade Signals For This Week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</si>
  <si>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https://i.ytimg.com/vi/6tRfahNGXjk/hqdefault.jpg</t>
  </si>
  <si>
    <t>How To Trade A Bear Market To Make Big Profits: The Secrets of Trading</t>
  </si>
  <si>
    <t>https://www.youtube.com/watch?v=YWL9boCbFRM</t>
  </si>
  <si>
    <t>YWL9boCbFRM</t>
  </si>
  <si>
    <t>How To Trade A Bear Market To Make Big Profits: The Secrets of Trading
This video will show you the secrets to trading in the bear market. You see, bear markets are actually a good time period to trade  - it's just not what most people think. In fact, it's quite the opposite! We will cover all the details of trading during a bear market and how you can use that to make good trades.
In this video:
0:00 Introduction
1:14 Aseem Singhal's introduction
3:18 What percentage fall qualifies to be called a bear market? 
5:55 Analysis of previous bear markets
10:00 Aseem's definition of a bear market
13:12 When does a bear market end?
14:38 How should traders approach a bear market?
17:20 How to make money in falling markets?
20:30 How did Aseem trade the 2020 market crash?
22:22 How to keep stop-loss in volatile markets?
26:05 How to trade big gaps?
28:50 What is hedging?
30:40 How to trade volatile markets?
33:17 Bollinger bands strategy for volatile markets
34:30 How to trade options in a high vix environment?
36:50 Strategies to trade in bear market
37:05 Breakdown strategy
38:40 How to choose stocks for breakdown strategy?
42:38 How to trade V &amp; W shaped markets?
48:10 Covered Call strategy
50:00 Key learnings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&amp; Manek Agicha
Date: 22-06-2022</t>
  </si>
  <si>
    <t>https://i.ytimg.com/vi/YWL9boCbFRM/hqdefault.jpg</t>
  </si>
  <si>
    <t>Learn The Different Types Of Trading And Which One Is Right For You | Trading For Beginners</t>
  </si>
  <si>
    <t>https://www.youtube.com/watch?v=zjHR1CqUi4g</t>
  </si>
  <si>
    <t>zjHR1CqUi4g</t>
  </si>
  <si>
    <t>Learn The Different Types Of Trading And Which One Is Right For You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Priyanka Sharma
Date: 21-06-2022</t>
  </si>
  <si>
    <t>https://i.ytimg.com/vi/zjHR1CqUi4g/hqdefault.jpg</t>
  </si>
  <si>
    <t>3 Stocks To Watch Out For: Swing Trading This Week</t>
  </si>
  <si>
    <t>https://www.youtube.com/watch?v=7-nmaP8cZR4</t>
  </si>
  <si>
    <t>7-nmaP8cZR4</t>
  </si>
  <si>
    <t>3 Stocks To Watch Out For: Swing Trading This Week
Strategy link : https://youtu.be/NLeV745YkHc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19-06-2022</t>
  </si>
  <si>
    <t>https://i.ytimg.com/vi/7-nmaP8cZR4/hqdefault.jpg</t>
  </si>
  <si>
    <t>How To Keep a Trading Journal: The Definitive Guide</t>
  </si>
  <si>
    <t>https://www.youtube.com/watch?v=z-OveH_zgeA</t>
  </si>
  <si>
    <t>z-OveH_zgeA</t>
  </si>
  <si>
    <t>How To Keep a Trading Journal: The Definitive Guide
Excel sheet : https://docs.google.com/spreadsheets/d/16MUJvNsuLz4Um12HZ1JnGLAp-iydmZBe/edit?usp=sharing&amp;ouid=105312322099270265396&amp;rtpof=true&amp;sd=true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</si>
  <si>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https://i.ytimg.com/vi/z-OveH_zgeA/hqdefault.jpg</t>
  </si>
  <si>
    <t>VWAP Strategy: The Ultimate Mean Reversion Indicator For Option Buying | Option Buying Strategy</t>
  </si>
  <si>
    <t>https://www.youtube.com/watch?v=r01O9GIX89w</t>
  </si>
  <si>
    <t>r01O9GIX89w</t>
  </si>
  <si>
    <t>VWAP Strategy: The Ultimate Mean Reversion Indicator For Option Buying | Option Buying Strategy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</si>
  <si>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https://i.ytimg.com/vi/r01O9GIX89w/hqdefault.jpg</t>
  </si>
  <si>
    <t>The 6 Point Checklist To Start Your F&amp;O Trading Like A PRO</t>
  </si>
  <si>
    <t>https://www.youtube.com/watch?v=8VyLVpXETec</t>
  </si>
  <si>
    <t>8VyLVpXETec</t>
  </si>
  <si>
    <t>The 6 Point Checklist To Start Your F&amp;O Trading Like A PRO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</si>
  <si>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https://i.ytimg.com/vi/8VyLVpXETec/hqdefault.jpg</t>
  </si>
  <si>
    <t>The Untold Secret of Ichimoku Trading</t>
  </si>
  <si>
    <t>https://www.youtube.com/watch?v=tQZg9l3efBY</t>
  </si>
  <si>
    <t>tQZg9l3efBY</t>
  </si>
  <si>
    <t>The Untold Secret of Ichimoku Trading: All You Need To Know About Trading With a Cloud For Success
Ichimoku is a Japanese technical trading system that is heavily based on the use of price action and momentum. Ichimoku is a very powerful trading strategy that is often overlooked by traders because it looks complicated to trade with. We are going to show you everything about Ichimoku including how to trade with it, what are its strengths, what are its weaknesses and why you should trade with it.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</si>
  <si>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https://i.ytimg.com/vi/tQZg9l3efBY/hqdefault.jpg</t>
  </si>
  <si>
    <t>Swing Trading Strategy for Beginners  | Trading For Beginners</t>
  </si>
  <si>
    <t>https://www.youtube.com/watch?v=z4ELHllsiAE</t>
  </si>
  <si>
    <t>z4ELHllsiAE</t>
  </si>
  <si>
    <t>Swing Trading Strategy for Beginners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</si>
  <si>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https://i.ytimg.com/vi/z4ELHllsiAE/hqdefault.jpg</t>
  </si>
  <si>
    <t>The Supertrend Strategy that works</t>
  </si>
  <si>
    <t>https://www.youtube.com/watch?v=NLeV745YkHc</t>
  </si>
  <si>
    <t>NLeV745YkHc</t>
  </si>
  <si>
    <t>Best Supertrend Trading Strategy for Day Trading &amp; Swing Trading
In this video, we discuss about how to use Supertrend and Moving average indicators to get the best trading setup for day trading and swing trading.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07-06-2022</t>
  </si>
  <si>
    <t>https://i.ytimg.com/vi/NLeV745YkHc/hqdefault.jpg</t>
  </si>
  <si>
    <t>Price Action Trading | How to Trade Channels | Trading for beginners</t>
  </si>
  <si>
    <t>https://www.youtube.com/watch?v=1aqC5pFhACo</t>
  </si>
  <si>
    <t>1aqC5pFhACo</t>
  </si>
  <si>
    <t>Price Action Trading | How to Trade Channels |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3-06-2022</t>
  </si>
  <si>
    <t>https://i.ytimg.com/vi/1aqC5pFhACo/hqdefault.jpg</t>
  </si>
  <si>
    <t>Fibonacci retracement for Intraday Trading | Intraday Trading Strategies for beginners</t>
  </si>
  <si>
    <t>https://www.youtube.com/watch?v=wSWgwcAkI-s</t>
  </si>
  <si>
    <t>wSWgwcAkI-s</t>
  </si>
  <si>
    <t>Fibonacci retracement for Intraday Trading | Intraday Trading Strategies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1-06-2022</t>
  </si>
  <si>
    <t>https://i.ytimg.com/vi/wSWgwcAkI-s/hqdefault.jpg</t>
  </si>
  <si>
    <t>Moving Average Indicator Strategies | Intraday Strategies for Beginners</t>
  </si>
  <si>
    <t>https://www.youtube.com/watch?v=4OKcemAz8Rg</t>
  </si>
  <si>
    <t>4OKcemAz8Rg</t>
  </si>
  <si>
    <t>Moving Average Indicator Strategies | Intraday Strategies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31-05-2022</t>
  </si>
  <si>
    <t>https://i.ytimg.com/vi/4OKcemAz8Rg/hqdefault.jpg</t>
  </si>
  <si>
    <t>Risk Management in Trading | Money Management &amp; Position Sizing for Intraday Trading</t>
  </si>
  <si>
    <t>https://www.youtube.com/watch?v=zWwR3uOmg3k</t>
  </si>
  <si>
    <t>zWwR3uOmg3k</t>
  </si>
  <si>
    <t>Risk Management in Trading | Money Management &amp; Position Sizing for Intraday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30-05-2022</t>
  </si>
  <si>
    <t>https://i.ytimg.com/vi/zWwR3uOmg3k/hqdefault.jpg</t>
  </si>
  <si>
    <t>Types of Orders in Stock Market | Market Order Vs Limit Order</t>
  </si>
  <si>
    <t>https://www.youtube.com/watch?v=QAsgzPBrHao</t>
  </si>
  <si>
    <t>QAsgzPBrHao</t>
  </si>
  <si>
    <t>Types of Orders in Stock Market | Market Order Vs Limit Order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20-05-2022</t>
  </si>
  <si>
    <t>https://i.ytimg.com/vi/QAsgzPBrHao/hqdefault.jpg</t>
  </si>
  <si>
    <t>Future and Option Terminologies Explained | Option Trading for Beginners</t>
  </si>
  <si>
    <t>https://www.youtube.com/watch?v=vEs5u4LD0JA</t>
  </si>
  <si>
    <t>vEs5u4LD0JA</t>
  </si>
  <si>
    <t>Future and Option Terminologies Explained | Option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25-05-2022</t>
  </si>
  <si>
    <t>https://i.ytimg.com/vi/vEs5u4LD0JA/hqdefault.jpg</t>
  </si>
  <si>
    <t>Support &amp; Resistance in Trading | How to use them to Trade Breakouts? (Hindi)</t>
  </si>
  <si>
    <t>https://www.youtube.com/watch?v=D7mfonU3-38</t>
  </si>
  <si>
    <t>D7mfonU3-38</t>
  </si>
  <si>
    <t>What are Support &amp; Resistance in Trading &amp; How to use them to Trade Breakouts? (Hindi)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24-05-2022</t>
  </si>
  <si>
    <t>https://i.ytimg.com/vi/D7mfonU3-38/hqdefault.jpg</t>
  </si>
  <si>
    <t>Intraday Entry &amp; Exit| How to find the right entry and exit| Intraday Trading for Beginners</t>
  </si>
  <si>
    <t>https://www.youtube.com/watch?v=MvS2I6pmuJc</t>
  </si>
  <si>
    <t>MvS2I6pmuJc</t>
  </si>
  <si>
    <t>Intraday Entry &amp; Exit| How to find the right entry and exit| Intraday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20-05-2022</t>
  </si>
  <si>
    <t>https://i.ytimg.com/vi/MvS2I6pmuJc/hqdefault.jpg</t>
  </si>
  <si>
    <t>Trailing Stop Loss | Top 3 Trailing Stop-Loss Techniques | Intraday Trading for Beginners</t>
  </si>
  <si>
    <t>https://www.youtube.com/watch?v=e3yCI94YOV0</t>
  </si>
  <si>
    <t>e3yCI94YOV0</t>
  </si>
  <si>
    <t>Trailing Stop Loss | Top 3 Trailing Stop-Loss Techniques | Intraday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</si>
  <si>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https://i.ytimg.com/vi/e3yCI94YOV0/hqdefault.jpg</t>
  </si>
  <si>
    <t>Options Trading: Covered Call | Options Trading for Beginners</t>
  </si>
  <si>
    <t>https://www.youtube.com/watch?v=YZl-VS6sO7I</t>
  </si>
  <si>
    <t>YZl-VS6sO7I</t>
  </si>
  <si>
    <t>Options Trading: Covered Call | Options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18-05-2022</t>
  </si>
  <si>
    <t>https://i.ytimg.com/vi/YZl-VS6sO7I/hqdefault.jpg</t>
  </si>
  <si>
    <t>Which is the Best Timeframe to Trade for Beginners | Best Timeframe for Intraday Trading</t>
  </si>
  <si>
    <t>https://www.youtube.com/watch?v=GplIt6OO47g</t>
  </si>
  <si>
    <t>GplIt6OO47g</t>
  </si>
  <si>
    <t>Which is the Best Timeframe to Trade for Beginners | Best Timeframe for Intraday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16-05-2022</t>
  </si>
  <si>
    <t>https://i.ytimg.com/vi/GplIt6OO47g/hqdefault.jpg</t>
  </si>
  <si>
    <t>Options Trading: Straddle and Strangle | Options Trading for Beginners</t>
  </si>
  <si>
    <t>https://www.youtube.com/watch?v=LAOHRyZQnT8</t>
  </si>
  <si>
    <t>LAOHRyZQnT8</t>
  </si>
  <si>
    <t>Options Trading: Straddle and Strangle | Options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13-05-2022</t>
  </si>
  <si>
    <t>https://i.ytimg.com/vi/LAOHRyZQnT8/hqdefault.jpg</t>
  </si>
  <si>
    <t>Top 5 Trading Indicators: What they are and how to use them | Intraday Trading for beginners</t>
  </si>
  <si>
    <t>https://www.youtube.com/watch?v=j0230PstIm4</t>
  </si>
  <si>
    <t>j0230PstIm4</t>
  </si>
  <si>
    <t>Top 5 Trading Indicators: What they are and how to use them | Intraday Trading for beginners
In this Top 5 Trading Indicators video, we discuss 5 simple yet powerful trading indicators that are most frequently used in the markets.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12-05-2022
About Groww
Groww is India’s Best Investment App and the Largest Stock Broker.
Find us here:
Android app: https://app.groww.in/v3cO/f9o4prne
iOS app - https://app.groww.in/v3cO/tu0yrc3e
Website - https://groww.in/</t>
  </si>
  <si>
    <t>https://i.ytimg.com/vi/j0230PstIm4/hqdefault.jpg</t>
  </si>
  <si>
    <t>How to use Indicators on Groww | Exploring Features of Groww Web Platform</t>
  </si>
  <si>
    <t>https://www.youtube.com/watch?v=skreoWiQStU</t>
  </si>
  <si>
    <t>skreoWiQStU</t>
  </si>
  <si>
    <t>How to use Indicators on Groww | Exploring Features of Groww Web Platform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9-05-2022</t>
  </si>
  <si>
    <t>https://i.ytimg.com/vi/skreoWiQStU/hqdefault.jpg</t>
  </si>
  <si>
    <t>Strongest Candlestick Pattern | Intraday Trading Pattern for Beginners</t>
  </si>
  <si>
    <t>https://www.youtube.com/watch?v=OEOt03vFZtQ</t>
  </si>
  <si>
    <t>OEOt03vFZtQ</t>
  </si>
  <si>
    <t>Strongest Candlestick Pattern | Intraday Trading Pattern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04-05-2022</t>
  </si>
  <si>
    <t>https://i.ytimg.com/vi/OEOt03vFZtQ/hqdefault.jpg</t>
  </si>
  <si>
    <t>5 Breakdown Stocks You Should Watch | Intraday Trading for Beginners</t>
  </si>
  <si>
    <t>https://www.youtube.com/watch?v=GcRDYHzixfw</t>
  </si>
  <si>
    <t>GcRDYHzixfw</t>
  </si>
  <si>
    <t>5 Breakdown Stocks You Should Watch | Intraday Trading for Beginners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5-5-2022</t>
  </si>
  <si>
    <t>https://i.ytimg.com/vi/GcRDYHzixfw/hqdefault.jpg</t>
  </si>
  <si>
    <t>Price Action Trading for Beginners | How to Trade Breakouts &amp; False Breakouts explained</t>
  </si>
  <si>
    <t>https://www.youtube.com/watch?v=TCSv0oVeJIM</t>
  </si>
  <si>
    <t>TCSv0oVeJIM</t>
  </si>
  <si>
    <t>In this Breakout &amp; False Breakouts video, we discuss how to Trade Breakouts with appropriate targets and stoploss.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02-05-2022</t>
  </si>
  <si>
    <t>https://i.ytimg.com/vi/TCSv0oVeJIM/hqdefault.jpg</t>
  </si>
  <si>
    <t>Options Trading for Beginners | ITM, ATM &amp; OTM Options Explained | Basics of Options</t>
  </si>
  <si>
    <t>https://www.youtube.com/watch?v=6KgpGfwU0ZQ</t>
  </si>
  <si>
    <t>6KgpGfwU0ZQ</t>
  </si>
  <si>
    <t>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</si>
  <si>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https://i.ytimg.com/vi/6KgpGfwU0ZQ/hqdefault.jpg</t>
  </si>
  <si>
    <t>RSI - RSI Trading Strategy for Beginners | Trading with Groww</t>
  </si>
  <si>
    <t>https://www.youtube.com/watch?v=xX4E5KK92w4</t>
  </si>
  <si>
    <t>xX4E5KK92w4</t>
  </si>
  <si>
    <t>RSI - RSI Trading Strategy for Beginners | Trading with Groww
In this RSI video, we talk about a powerful indicator called RSI which stands for Relative Strength Index. We discuss how to trade using this strategy and have a good success rate.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28-04-2022</t>
  </si>
  <si>
    <t>https://i.ytimg.com/vi/xX4E5KK92w4/hqdefault.jpg</t>
  </si>
  <si>
    <t>Profitable Trading pattern for Intraday Trading | Morning Star Pattern |Trading with Groww</t>
  </si>
  <si>
    <t>https://www.youtube.com/watch?v=7FO5FwzJ5h8</t>
  </si>
  <si>
    <t>7FO5FwzJ5h8</t>
  </si>
  <si>
    <t>Morning Star Candlestick Pattern - Trading pattern for Intraday Trading | Trading with Groww
In this Morning Star Candlestick Pattern video, we discuss how to find the pattern and how best to combine it with Indicators such as RSI &amp; Bollinger Bands to increase profitability.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 27-04-2022</t>
  </si>
  <si>
    <t>https://i.ytimg.com/vi/7FO5FwzJ5h8/hqdefault.jpg</t>
  </si>
  <si>
    <t>Technical analysis NIFTY | Moving Average | Trading with Groww</t>
  </si>
  <si>
    <t>https://www.youtube.com/watch?v=IiCLzJuO2bw</t>
  </si>
  <si>
    <t>IiCLzJuO2bw</t>
  </si>
  <si>
    <t>Technical analysis NIFTY | Moving Average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26-04-2022</t>
  </si>
  <si>
    <t>https://i.ytimg.com/vi/IiCLzJuO2bw/hqdefault.jpg</t>
  </si>
  <si>
    <t>Support and Resistance | How to identify key levels and draw them on Groww</t>
  </si>
  <si>
    <t>https://www.youtube.com/watch?v=N2OpYlwvRrg</t>
  </si>
  <si>
    <t>N2OpYlwvRrg</t>
  </si>
  <si>
    <t>Support and Resistance | Trading with Groww
In this Support and Resistance video, we explain how to figure out key support and resistance levels and how to trade them. We also understand breakout and false breakout instances in trading.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Nataraj Malavade
Date: 25-04-2022</t>
  </si>
  <si>
    <t>https://i.ytimg.com/vi/N2OpYlwvRrg/hqdefault.jpg</t>
  </si>
  <si>
    <t>Which Option is Better - Buying or Selling?</t>
  </si>
  <si>
    <t>https://www.youtube.com/watch?v=9kIDf5v8cNQ</t>
  </si>
  <si>
    <t>9kIDf5v8cNQ</t>
  </si>
  <si>
    <t>Which Option is Better - Buying or Selling?
In this Option Buying vs Selling video, we discuss the margin requirements to buy &amp; sell options, when to buy and when to sell options.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23-04-2022</t>
  </si>
  <si>
    <t>https://i.ytimg.com/vi/9kIDf5v8cNQ/hqdefault.jpg</t>
  </si>
  <si>
    <t>Introducing Aseem Singhal | Algo Quant Trader | Fund Manager | Trading with Groww</t>
  </si>
  <si>
    <t>https://www.youtube.com/watch?v=22CirRVmTiU</t>
  </si>
  <si>
    <t>22CirRVmTiU</t>
  </si>
  <si>
    <t>In this video Introducing Aseem Singhal, Aseem talks about his journey as a Fund Manager and the various experiences he's had. He further goes on to talk about the important questions one needs to ask themselves to be a successful trader.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Aseem Singhal
Date:</t>
  </si>
  <si>
    <t>https://i.ytimg.com/vi/22CirRVmTiU/hqdefault.jpg</t>
  </si>
  <si>
    <t>Technical analysis of HDFC &amp; Infosys | Technical analysis of stocks</t>
  </si>
  <si>
    <t>https://www.youtube.com/watch?v=PhzPoVmqHT8</t>
  </si>
  <si>
    <t>PhzPoVmqHT8</t>
  </si>
  <si>
    <t>Technical analysis of HDFC &amp; Infosys | Technical analysis of stocks
In the Technical analysis of HDFC &amp; Infosys video, we have analyzed HDFC Bank stock &amp; Infosys stock from a technical analysis point of view in weekly and daily time frame with Moving average Indicator and Price Action.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21/04/22</t>
  </si>
  <si>
    <t>https://i.ytimg.com/vi/PhzPoVmqHT8/hqdefault.jpg</t>
  </si>
  <si>
    <t>How to master Trading [5 Psychology hacks] | Trading with Groww</t>
  </si>
  <si>
    <t>https://www.youtube.com/watch?v=0drajMOCVQ4</t>
  </si>
  <si>
    <t>0drajMOCVQ4</t>
  </si>
  <si>
    <t>How to master Trading [5 Psychology hacks]
In this "How to master Trading" video we shall discuss 5 Psychology hacks that help you become a better trader. Do watch the video till the end to transform your trading career.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19-04-2022
00:56 3 keys to becoming a successful trader
01:40 What is trading psychology?
02:55 Don't trade out of FOMO
05:02 Simply accept losses
07:40 Don't have an immediate recovery mindset
09:16 Don't compare yourself with other traders
10:44 Stop blaming</t>
  </si>
  <si>
    <t>https://i.ytimg.com/vi/0drajMOCVQ4/hqdefault.jpg</t>
  </si>
  <si>
    <t>3 Golden Rules to spot Stock Trends | Trading with Groww</t>
  </si>
  <si>
    <t>https://www.youtube.com/watch?v=tbwsauXU_4U</t>
  </si>
  <si>
    <t>tbwsauXU_4U</t>
  </si>
  <si>
    <t>3 Golden Rules to spot Stock Trends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Nataraj Malavade
Date: price action trading strategies tips to improve trading</t>
  </si>
  <si>
    <t>https://i.ytimg.com/vi/tbwsauXU_4U/hqdefault.jpg</t>
  </si>
  <si>
    <t>Option trading for beginners: How to trade Options on Groww</t>
  </si>
  <si>
    <t>https://www.youtube.com/watch?v=uuvfCdyJync</t>
  </si>
  <si>
    <t>uuvfCdyJync</t>
  </si>
  <si>
    <t>Option trading for beginners: How to trade Options on Groww 
In this option trading for beginners video, we cover about basics of options trading which include call options, put options and also which option to buy when the market is bullish and bearish. We further go on to teach about how to place option orders on Groww terminal.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17/04/2022</t>
  </si>
  <si>
    <t>https://i.ytimg.com/vi/uuvfCdyJync/hqdefault.jpg</t>
  </si>
  <si>
    <t>ITC Share Technical Analysis | ITC Share latest news | Trading with Groww</t>
  </si>
  <si>
    <t>https://www.youtube.com/watch?v=hFNSsKY0y4A</t>
  </si>
  <si>
    <t>hFNSsKY0y4A</t>
  </si>
  <si>
    <t>ITC Share Technical Analysis | ITC Share latest news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13 April 2022</t>
  </si>
  <si>
    <t>https://i.ytimg.com/vi/hFNSsKY0y4A/hqdefault.jpg</t>
  </si>
  <si>
    <t>VWAP Trading Strategy explained | Intraday Trading Strategy for beginners</t>
  </si>
  <si>
    <t>https://www.youtube.com/watch?v=9qIBLvXfTRE</t>
  </si>
  <si>
    <t>9qIBLvXfTRE</t>
  </si>
  <si>
    <t>In this video, we have discussed how to use the VWAP strategy for intraday trading.
For educational videos on trading, please subscribe to the Trading with Groww channel: https://openinapp.co/youtube/trading-with-groww
0:00 Disclaimer
0:05 Introduction
0:55 What is VWAP?
4:38 Examples
12:40 Conclusion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12 April 2022</t>
  </si>
  <si>
    <t>https://i.ytimg.com/vi/9qIBLvXfTRE/hqdefault.jpg</t>
  </si>
  <si>
    <t>How to do intraday trading on Groww? | Trading with Groww</t>
  </si>
  <si>
    <t>https://www.youtube.com/watch?v=MHjmuTWm3WI</t>
  </si>
  <si>
    <t>MHjmuTWm3WI</t>
  </si>
  <si>
    <t>Intraday Trading for beginners &amp; how to do it on Groww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About Groww
Groww is India’s Best Investment App and the Largest Stock Broker.
Find us here:
Android app: https://app.groww.in/v3cO/f9o4prne
iOS app - https://app.groww.in/v3cO/tu0yrc3e
Website - https://groww.in/
Name of the RA: Himanshu Sinha
Name of the narrator: Manek Agicha
Date: 07 April 2022</t>
  </si>
  <si>
    <t>https://i.ytimg.com/vi/MHjmuTWm3WI/hqdefault.jpg</t>
  </si>
  <si>
    <t>Technical analysis of Adani Wilmar | Latest analysis and update</t>
  </si>
  <si>
    <t>https://www.youtube.com/watch?v=3yLpC7Qo2JY</t>
  </si>
  <si>
    <t>3yLpC7Qo2JY</t>
  </si>
  <si>
    <t>Technical analysis of Adani Wilmar | Latest analysis and update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08 April 2022</t>
  </si>
  <si>
    <t>https://i.ytimg.com/vi/3yLpC7Qo2JY/hqdefault.jpg</t>
  </si>
  <si>
    <t>How to get started with trading | Beginners Trading Guide</t>
  </si>
  <si>
    <t>https://www.youtube.com/watch?v=vKQanMYxvpg</t>
  </si>
  <si>
    <t>vKQanMYxvpg</t>
  </si>
  <si>
    <t>How to get started with trading | Trading for beginners
#tradingwithgroww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Nataraj Malavade
Date: 07 April 2022</t>
  </si>
  <si>
    <t>https://i.ytimg.com/vi/vKQanMYxvpg/hqdefault.jpg</t>
  </si>
  <si>
    <t>Top 5 Bullish MACD Stocks | Trading with Groww</t>
  </si>
  <si>
    <t>https://www.youtube.com/watch?v=kzY3UWU0XxA</t>
  </si>
  <si>
    <t>kzY3UWU0XxA</t>
  </si>
  <si>
    <t>Top 5 Bullish MACD Stocks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26 March 2022</t>
  </si>
  <si>
    <t>https://i.ytimg.com/vi/kzY3UWU0XxA/hqdefault.jpg</t>
  </si>
  <si>
    <t>How to set a stop-loss while trading | Trading with Groww</t>
  </si>
  <si>
    <t>https://www.youtube.com/watch?v=Zc4J0L6Wpzc</t>
  </si>
  <si>
    <t>Zc4J0L6Wpzc</t>
  </si>
  <si>
    <t>How to set a stop-loss while trading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17 March 2022</t>
  </si>
  <si>
    <t>https://i.ytimg.com/vi/Zc4J0L6Wpzc/hqdefault.jpg</t>
  </si>
  <si>
    <t>Top 5 momentum stocks | Trading with Groww</t>
  </si>
  <si>
    <t>https://www.youtube.com/watch?v=dyincT4vq-Q</t>
  </si>
  <si>
    <t>dyincT4vq-Q</t>
  </si>
  <si>
    <t>Top 5 momentum stocks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Date:</t>
  </si>
  <si>
    <t>https://i.ytimg.com/vi/dyincT4vq-Q/hqdefault.jpg</t>
  </si>
  <si>
    <t>How to find momentum stocks | Trading with Groww</t>
  </si>
  <si>
    <t>https://www.youtube.com/watch?v=vuCcdU33saY</t>
  </si>
  <si>
    <t>vuCcdU33saY</t>
  </si>
  <si>
    <t>How to find momentum stocks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22 March 2022</t>
  </si>
  <si>
    <t>https://i.ytimg.com/vi/vuCcdU33saY/hqdefault.jpg</t>
  </si>
  <si>
    <t>Paytm analysis: Technical analysis of PayTm | Why is Paytm stock going down? | Paytm share</t>
  </si>
  <si>
    <t>https://www.youtube.com/watch?v=HcDIhco07hY</t>
  </si>
  <si>
    <t>HcDIhco07hY</t>
  </si>
  <si>
    <t>Paytm analysis: Technical analysis of PayTm | Why is Paytm stock going down? | Paytm share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23 March 2022</t>
  </si>
  <si>
    <t>https://i.ytimg.com/vi/HcDIhco07hY/hqdefault.jpg</t>
  </si>
  <si>
    <t>How to trade during volatile markets | Trading with Groww</t>
  </si>
  <si>
    <t>https://www.youtube.com/watch?v=B6HLSq3tZ6A</t>
  </si>
  <si>
    <t>B6HLSq3tZ6A</t>
  </si>
  <si>
    <t>How to trade during volatile markets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
Research Analyst disclaimer: https://groww.in/p/sebi-research-analyst-regulations
Name of the RA: Himanshu Sinha
Name of the narrator: Manek Agicha
Date: Mar 2, 2022</t>
  </si>
  <si>
    <t>https://i.ytimg.com/vi/B6HLSq3tZ6A/hqdefault.jpg</t>
  </si>
  <si>
    <t>10 tips to become a better trader | Trading for beginners | Trading with Groww</t>
  </si>
  <si>
    <t>https://www.youtube.com/watch?v=sPaSg6bLP9E</t>
  </si>
  <si>
    <t>sPaSg6bLP9E</t>
  </si>
  <si>
    <t>10 tips to become a better trader | Trading for beginners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</si>
  <si>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https://i.ytimg.com/vi/sPaSg6bLP9E/hqdefault.jpg</t>
  </si>
  <si>
    <t>Top 5 breakdown stocks | Trading with Groww</t>
  </si>
  <si>
    <t>https://www.youtube.com/watch?v=l8VDtXDatJA</t>
  </si>
  <si>
    <t>l8VDtXDatJA</t>
  </si>
  <si>
    <t>Top 5 breakdown stocks | Trading with Groww
Research Analyst disclaimer: https://groww.in/p/sebi-research-analyst-regulations
Name of the RA: Himanshu Sinha
Name of the narrator: Manek Agicha
Date: 02 March 2022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</si>
  <si>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https://i.ytimg.com/vi/l8VDtXDatJA/hqdefault.jpg</t>
  </si>
  <si>
    <t>Best trading strategy: Price action trading strategies in Hindi | Trading for beginners</t>
  </si>
  <si>
    <t>https://www.youtube.com/watch?v=oGOEdNrVCMo</t>
  </si>
  <si>
    <t>oGOEdNrVCMo</t>
  </si>
  <si>
    <t>Best trading strategy: Price action trading strategies in Hindi | Trading for beginners
Research Analyst disclaimer: https://groww.in/p/sebi-research-analyst-regulations
Name of the RA: Himanshu Sinha
Name of the narrator: Manek Agicha
Date: Feb 18, 2022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</si>
  <si>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https://i.ytimg.com/vi/oGOEdNrVCMo/hqdefault.jpg</t>
  </si>
  <si>
    <t>Best trading strategy: How to find breakout stocks? | Trading for beginners</t>
  </si>
  <si>
    <t>https://www.youtube.com/watch?v=bn_gVi1HOmY</t>
  </si>
  <si>
    <t>bn_gVi1HOmY</t>
  </si>
  <si>
    <t>Best trading strategy: How to trade when stock breaks | Trading for beginners
Research Analyst disclaimer: https://groww.in/p/sebi-research-analyst-regulations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</si>
  <si>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https://i.ytimg.com/vi/bn_gVi1HOmY/hqdefault.jpg</t>
  </si>
  <si>
    <t>Complete guide to candlesticks in Hindi | Candlestick patterns for beginners | Trading with @Groww</t>
  </si>
  <si>
    <t>https://www.youtube.com/watch?v=XzCmYlT_MI8</t>
  </si>
  <si>
    <t>XzCmYlT_MI8</t>
  </si>
  <si>
    <t>Candlestick Patterns for Beginners | Candlestick Analysis | Candlestick Chart | Trading with @Groww  
You can also watch this video in English: https://youtu.be/p2vf07qbBig
Research Analyst disclaimer: https://groww.in/p/sebi-research-analyst-regulations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About Groww
Groww is India’s Best Investment App and the Largest Stock Broker.
Find us here:
Android app: https://app.groww.in/v3cO/f9o4prne
iOS app - https://app.groww.in/v3cO/tu0yrc3e
Website - https://groww.in/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</si>
  <si>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https://i.ytimg.com/vi/XzCmYlT_MI8/hqdefault.jpg</t>
  </si>
  <si>
    <t>[Tutorial] Technical analysis of stocks for beginners | Trading with @Groww for beginners</t>
  </si>
  <si>
    <t>https://www.youtube.com/watch?v=UQrHP_BLgy8</t>
  </si>
  <si>
    <t>UQrHP_BLgy8</t>
  </si>
  <si>
    <t>[Tutorial] Technical analysis of stocks for beginners | Trading with @Groww for beginners
#tradingforbeginners 
Research Analyst disclaimer: https://groww.in/p/sebi-research-analyst-regulations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</si>
  <si>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https://i.ytimg.com/vi/UQrHP_BLgy8/hqdefault.jpg</t>
  </si>
  <si>
    <t>How to trade on a Budget day | Trading strategies during Budget 2022 | Union Budget 2022</t>
  </si>
  <si>
    <t>https://www.youtube.com/watch?v=BqF9BPeexZY</t>
  </si>
  <si>
    <t>BqF9BPeexZY</t>
  </si>
  <si>
    <t>How to trade on a Budget day | Trading strategies during Budget 2022 | Union Budget 2022 | Nirmala Sitharaman | Trading with Groww
Research Analyst disclaimer: https://groww.in/p/sebi-research-analyst-regulations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</si>
  <si>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https://i.ytimg.com/vi/BqF9BPeexZY/hqdefault.jpg</t>
  </si>
  <si>
    <t>Candlestick Patterns for Beginners | Candlestick Analysis | Candlestick Chart | Trading with @Groww</t>
  </si>
  <si>
    <t>https://www.youtube.com/watch?v=p2vf07qbBig</t>
  </si>
  <si>
    <t>p2vf07qbBig</t>
  </si>
  <si>
    <t>Candlestick Patterns for Beginners | Candlestick Analysis | Candlestick Chart | Trading with @Groww 
Research Analyst disclaimer: https://groww.in/p/sebi-research-analyst-regulations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</si>
  <si>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https://i.ytimg.com/vi/p2vf07qbBig/hqdefault.jpg</t>
  </si>
  <si>
    <t>What are volumes? How to analyze volumes to make trading strategies? | Trading for beginners</t>
  </si>
  <si>
    <t>https://www.youtube.com/watch?v=IrAZsq9FsjQ</t>
  </si>
  <si>
    <t>IrAZsq9FsjQ</t>
  </si>
  <si>
    <t>What are volumes? How to analyze volumes to make trading strategies? | Trading for beginners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</si>
  <si>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https://i.ytimg.com/vi/IrAZsq9FsjQ/hqdefault.jpg</t>
  </si>
  <si>
    <t>How to use Hanging Man candlestick pattern to trade | Trading for beginners | Trading with @Groww</t>
  </si>
  <si>
    <t>https://www.youtube.com/watch?v=nXO9XhykPmY</t>
  </si>
  <si>
    <t>nXO9XhykPmY</t>
  </si>
  <si>
    <t>How to use Hanging Man candlestick pattern to trade | Trading for beginners | Trading with Groww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</si>
  <si>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https://i.ytimg.com/vi/nXO9XhykPmY/hqdefault.jpg</t>
  </si>
  <si>
    <t>How to trade using Doji Candlestick pattern | Technical analysis | Doji candlestick trading strategy</t>
  </si>
  <si>
    <t>https://www.youtube.com/watch?v=aIisJQxCj5k</t>
  </si>
  <si>
    <t>aIisJQxCj5k</t>
  </si>
  <si>
    <t>How to trade using Doji Candlestick pattern | Technical analysis | Doji candlestick trading strategy
In this video, we have illustrated how to trade using the Doji candlestick in trading strategy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</si>
  <si>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https://i.ytimg.com/vi/aIisJQxCj5k/hqdefault.jpg</t>
  </si>
  <si>
    <t>How to trade using Hammer Candlestick | Technical analysis | Hammer candlestick trading strategy</t>
  </si>
  <si>
    <t>https://www.youtube.com/watch?v=13s9Ev8FO9M</t>
  </si>
  <si>
    <t>13s9Ev8FO9M</t>
  </si>
  <si>
    <t>How to trade using Hammer Candlestick | Technical analysis | Hammer candlestick trading strategy
In this video, we have illustrated how to trade using the Hammer Candlestick strategy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</si>
  <si>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https://i.ytimg.com/vi/13s9Ev8FO9M/hqdefault.jpg</t>
  </si>
  <si>
    <t>Candlesticks for beginners | Candlestick patterns in Hindi | Trading with Groww</t>
  </si>
  <si>
    <t>https://www.youtube.com/watch?v=L8XnIlLGL1E</t>
  </si>
  <si>
    <t>L8XnIlLGL1E</t>
  </si>
  <si>
    <t>Candlesticks for beginners | Candlestick patterns in Hindi | Trading with Groww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</si>
  <si>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https://i.ytimg.com/vi/L8XnIlLGL1E/hqdefault.jpg</t>
  </si>
  <si>
    <t>Technical analysis of RBL Bank | Trading strategy | Trading for beginners</t>
  </si>
  <si>
    <t>https://www.youtube.com/watch?v=ipQeKYrIshE</t>
  </si>
  <si>
    <t>ipQeKYrIshE</t>
  </si>
  <si>
    <t>Technical analysis of RBL Bank | Trading strategy | Trading for beginners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</si>
  <si>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https://i.ytimg.com/vi/ipQeKYrIshE/hqdefault.jpg</t>
  </si>
  <si>
    <t>CAMS share technical analysis: CAMS Chart analysis | CAMS latest news | Trading with Groww</t>
  </si>
  <si>
    <t>https://www.youtube.com/watch?v=AeGDnZHBhK8</t>
  </si>
  <si>
    <t>AeGDnZHBhK8</t>
  </si>
  <si>
    <t>CAMS share technical analysis: CAMS Chart analysis | CAMS latest news | Trading with Groww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</si>
  <si>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https://i.ytimg.com/vi/AeGDnZHBhK8/hqdefault.jpg</t>
  </si>
  <si>
    <t>What are Options contract in F &amp; O | Options Trading | Futures &amp; Options Trading For Beginners</t>
  </si>
  <si>
    <t>https://www.youtube.com/watch?v=OowOxUtcnRE</t>
  </si>
  <si>
    <t>OowOxUtcnRE</t>
  </si>
  <si>
    <t>What are Options contract in F &amp; O | Options Trading Explained | Futures Trading For Beginners | Trading with Groww
#futures #options #trading
In this video we have spoken about options contract and its key features in detail.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</si>
  <si>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https://i.ytimg.com/vi/OowOxUtcnRE/hqdefault.jpg</t>
  </si>
  <si>
    <t>Bajaj Finance share technical analysis: Bajaj Finance Chart analysis | Bajaj Finance latest news</t>
  </si>
  <si>
    <t>https://www.youtube.com/watch?v=lyVq3yIfcO8</t>
  </si>
  <si>
    <t>lyVq3yIfcO8</t>
  </si>
  <si>
    <t>Bajaj Finance share technical analysis: Bajaj Finance Chart analysis | Bajaj Finance share latest news
In this video on the technical analysis of Bajaj Finance we have discussed the chart patterns formed by the stock in its previous trading sessions.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</si>
  <si>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https://i.ytimg.com/vi/lyVq3yIfcO8/hqdefault.jpg</t>
  </si>
  <si>
    <t>Asian Paints share technical analysis: Asian Paints Chart analysis | Asian Paints share latest news</t>
  </si>
  <si>
    <t>https://www.youtube.com/watch?v=GSf1kulhoIo</t>
  </si>
  <si>
    <t>GSf1kulhoIo</t>
  </si>
  <si>
    <t>Asian Paints share technical analysis: Asian Paints Chart analysis | Asian Paints share latest news
In this video on the technical analysis of Asian Paints we have discussed the chart patterns formed by the stock in its previous trading sessions.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</si>
  <si>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https://i.ytimg.com/vi/GSf1kulhoIo/hqdefault.jpg</t>
  </si>
  <si>
    <t>What are Futures contract in F &amp; O | Futures Trading | Futures &amp; Options Trading For Beginners</t>
  </si>
  <si>
    <t>https://www.youtube.com/watch?v=mrmc1Pgo5s0</t>
  </si>
  <si>
    <t>mrmc1Pgo5s0</t>
  </si>
  <si>
    <t>What are Futures contract in F &amp; O | Futures Trading Explained | Futures Trading For Beginners | Trading with Groww
#futures #options #trading
In this video we have spoken about futures contract and its key features in detail.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</si>
  <si>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https://i.ytimg.com/vi/mrmc1Pgo5s0/hqdefault.jpg</t>
  </si>
  <si>
    <t>Technical analysis of CDSL | CDSL share chart analysis | Trading with Groww</t>
  </si>
  <si>
    <t>https://www.youtube.com/watch?v=JiDDPzB8Ays</t>
  </si>
  <si>
    <t>JiDDPzB8Ays</t>
  </si>
  <si>
    <t>Technical analysis of CDSL | CDSL share chart analysis | Trading with Groww
In this video we have technically analysed the CDSL and discussed the chart patterns formed by CDSL in the previous trading sessions.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</si>
  <si>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https://i.ytimg.com/vi/JiDDPzB8Ays/hqdefault.jpg</t>
  </si>
  <si>
    <t>Technical analysis of Laurus labs | Laurus labs share | Chart analysis | Trading with Groww</t>
  </si>
  <si>
    <t>https://www.youtube.com/watch?v=cQwC_cUM5mw</t>
  </si>
  <si>
    <t>cQwC_cUM5mw</t>
  </si>
  <si>
    <t>Technical analysis of Laurus labs | Laurus labs share | Chart analysis | Trading with Groww
In this video we have technically analysed the Laurus Labs and discussed the chart patterns formed by Laurus Labs in the previous trading sessions.
For more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</si>
  <si>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https://i.ytimg.com/vi/cQwC_cUM5mw/hqdefault.jpg</t>
  </si>
  <si>
    <t>Volatility Contraction Pattern (VCP) - How to trade using VCP Chart Pattern | Trading for beginners</t>
  </si>
  <si>
    <t>https://www.youtube.com/watch?v=sAFpVKDktLI</t>
  </si>
  <si>
    <t>sAFpVKDktLI</t>
  </si>
  <si>
    <t>Volatility Contraction Pattern (VCP) - How to trade using VCP Chart Pattern | Trading for beginners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</si>
  <si>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https://i.ytimg.com/vi/sAFpVKDktLI/hqdefault.jpg</t>
  </si>
  <si>
    <t>Basics of Futures and Options (F&amp;O) | Futures and Options explained | Futures Trading for beginners</t>
  </si>
  <si>
    <t>https://www.youtube.com/watch?v=bpTqR06v6vI</t>
  </si>
  <si>
    <t>bpTqR06v6vI</t>
  </si>
  <si>
    <t>Basics of Futures and Options (F&amp;O) | Futures and Options explained | Futures Trading for beginners
In this video we have spoken about the basics of Futures and Options (F&amp;O)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</si>
  <si>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https://i.ytimg.com/vi/bpTqR06v6vI/hqdefault.jpg</t>
  </si>
  <si>
    <t>How to use charts and indicators on Groww | Trading strategy | Intraday trading for beginners</t>
  </si>
  <si>
    <t>https://www.youtube.com/watch?v=bnxoV7dIThw</t>
  </si>
  <si>
    <t>bnxoV7dIThw</t>
  </si>
  <si>
    <t>How to use charts and indicators on Groww | Trading strategy | Intraday trading for beginners
In this video, we have spoken on how to use charts and indicators on Groww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</si>
  <si>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https://i.ytimg.com/vi/bnxoV7dIThw/hqdefault.jpg</t>
  </si>
  <si>
    <t>Trading for beginners: Flag &amp; Pole pattern | Rectangle pattern | Technical analysis for beginners</t>
  </si>
  <si>
    <t>https://www.youtube.com/watch?v=b7c13BxH0RI</t>
  </si>
  <si>
    <t>b7c13BxH0RI</t>
  </si>
  <si>
    <t>Trading for beginners: Flag &amp; Pole pattern | Rectangle pattern | Technical analysis for beginners
#tradingforbeginners #tradingwithgroww #groww
In this trading for beginners video, we have spoken about Flag &amp; Pole pattern, Rectangle Pattern.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</si>
  <si>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https://i.ytimg.com/vi/b7c13BxH0RI/hqdefault.jpg</t>
  </si>
  <si>
    <t>Moving average indicator for Intraday trading - Trading for beginners</t>
  </si>
  <si>
    <t>https://www.youtube.com/watch?v=L-Xc3kXNibw</t>
  </si>
  <si>
    <t>L-Xc3kXNibw</t>
  </si>
  <si>
    <t>Moving average indicator for Intraday trading - Trading for beginners
In this video we have spoken about moving average indicator in detail.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</si>
  <si>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https://i.ytimg.com/vi/L-Xc3kXNibw/hqdefault.jpg</t>
  </si>
  <si>
    <t>Trading for beginners: Bollinger band indicator | Intraday trading strategy | Trading with Groww</t>
  </si>
  <si>
    <t>https://www.youtube.com/watch?v=L5342QyvBeY</t>
  </si>
  <si>
    <t>L5342QyvBeY</t>
  </si>
  <si>
    <t>Trading for beginners: Bollinger band indicator | Intraday trading strategy
In this video on Trading for beginners we have illustrated Bollinger band indicator.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</si>
  <si>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https://i.ytimg.com/vi/L5342QyvBeY/hqdefault.jpg</t>
  </si>
  <si>
    <t>Trading for beginners: Double top &amp; Double bottom pattern | Head &amp; shoulders pattern</t>
  </si>
  <si>
    <t>https://www.youtube.com/watch?v=Gvt29XV5AAI</t>
  </si>
  <si>
    <t>Gvt29XV5AAI</t>
  </si>
  <si>
    <t>Trading for beginners: Double top &amp; Double bottom pattern | Head &amp; shoulders pattern
In this trading for beginners video, we have illustrated how to use the Double top &amp; Double bottom pattern and Head &amp; shoulders pattern in your trading strategies in detail.
For educational videos on trading, please subscribe to the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</si>
  <si>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https://i.ytimg.com/vi/Gvt29XV5AAI/hqdefault.jpg</t>
  </si>
  <si>
    <t>Trading for beginners: Stochastic indicator | Technical analysis | Trading with Groww</t>
  </si>
  <si>
    <t>https://www.youtube.com/watch?v=uB4op8XOCUE</t>
  </si>
  <si>
    <t>uB4op8XOCUE</t>
  </si>
  <si>
    <t>Trading for beginners: Stochastic indicator | Technical analysis | Trading with Groww
In this technical analysis video we have illustrated how to use Stochastic indicator in detail.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</si>
  <si>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https://i.ytimg.com/vi/uB4op8XOCUE/hqdefault.jpg</t>
  </si>
  <si>
    <t>Trading for beginners: Wedges, Cup &amp; Handle chart pattern | Technical analysis | Trading with Groww</t>
  </si>
  <si>
    <t>https://www.youtube.com/watch?v=JYYpAFD1gN4</t>
  </si>
  <si>
    <t>JYYpAFD1gN4</t>
  </si>
  <si>
    <t>Trading for beginners: Wedges, Cup &amp; Handle chart pattern | Technical analysis | Trading with Groww
In this technical analysis video we have illustrated how to use Wedges, Cup &amp; Handle chart pattern in detail.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</si>
  <si>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https://i.ytimg.com/vi/JYYpAFD1gN4/hqdefault.jpg</t>
  </si>
  <si>
    <t>MACD indicator explained - How to use MACD indicator for trading strategy</t>
  </si>
  <si>
    <t>https://www.youtube.com/watch?v=nuaITRtNMY8</t>
  </si>
  <si>
    <t>nuaITRtNMY8</t>
  </si>
  <si>
    <t>MACD indicator explained - How to use MACD indicator for trading strategy
#macdindicator #macd #trading
In this video we spoke about MACD indicator and how to use it effectively in trading strategy.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</si>
  <si>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https://i.ytimg.com/vi/nuaITRtNMY8/hqdefault.jpg</t>
  </si>
  <si>
    <t>Trading for beginners: Introduction to Indicators &amp; Chart Patterns | Stock Trading with Groww</t>
  </si>
  <si>
    <t>https://www.youtube.com/watch?v=G_fUXO5JIiA</t>
  </si>
  <si>
    <t>G_fUXO5JIiA</t>
  </si>
  <si>
    <t>Trading for beginners: Introduction to Indicators &amp; Chart Patterns | Stock Trading with Groww
In this introduction video we spoke about chart patterns and indicators and how to use them in stock trading in detail.
#trading #stocktrading #chartpatterns #indicators
For educational videos on trading, please subscribe to Trading with Groww channel:
https://openinapp.co/youtube/trading-with-groww
We also have a Kannada, Tamil, Telugu, Malayalam and a Mutual fund channel
🔔 Groww Kannada -  https://bit.ly/3ekyeKP
🔔 Groww Tamil - https://bit.ly/3cbhN3Z
🔔 Groww Telugu - https://bit.ly/39aLpwC
🔔 Groww Malayalam https://bit.ly/3enG2LV
🔔 Groww Mutual Fund - https://bit.ly/3zQpR32
Follow us on:
Facebook: https://www.facebook.com/growwapp/
Twitter: https://twitter.com/_groww
Instagram: https://www.instagram.com/groww_official
LinkedIn: https://in.linkedin.com/company/groww.in
Telegram: https://t.me/GrowwHQ
Disclaimer: 
Groww does not advise on individual stocks and firmly believes that viewers should do their own research before investing.
Also, our viewers should keep in mind that trading in securities and derivatives can be risky and most people may end up losing money in such trades. While we would love to educate you about trading, we don't promote or recommend engaging in such high-risk products.</t>
  </si>
  <si>
    <t>https://i.ytimg.com/vi/G_fUXO5JIiA/hqdefault.jpg</t>
  </si>
  <si>
    <t>Total Views</t>
  </si>
  <si>
    <t xml:space="preserve">Videos Posted
</t>
  </si>
  <si>
    <t xml:space="preserve">Avg Engagement %
</t>
  </si>
  <si>
    <t xml:space="preserve">Weekly_Growth_%
</t>
  </si>
  <si>
    <t>Grand Total</t>
  </si>
  <si>
    <t>Avg Views</t>
  </si>
  <si>
    <t>Avg Engagement %</t>
  </si>
  <si>
    <t>Video Count</t>
  </si>
  <si>
    <t>Commodity Trading Education</t>
  </si>
  <si>
    <t>Beginner Trading Education</t>
  </si>
  <si>
    <t>Options Strategy Education</t>
  </si>
  <si>
    <t>Platform / Groww Feature Tutorial</t>
  </si>
  <si>
    <t>Technical Analysis / Chart Patterns</t>
  </si>
  <si>
    <t>General Trading Education</t>
  </si>
  <si>
    <t>Expert Interview / Trading Insights</t>
  </si>
  <si>
    <t>Trading Psychology / Risk Management</t>
  </si>
  <si>
    <t>Index Options</t>
  </si>
  <si>
    <t>Algo Trading / API Tutorial</t>
  </si>
  <si>
    <t>Executive Insights &amp; Strategic Recommendations</t>
  </si>
  <si>
    <t>F&amp;O Content Performance Analysis – Trading with Groww (YouTube)</t>
  </si>
  <si>
    <t>EXECUTIVE SUMMARY</t>
  </si>
  <si>
    <t>This analysis evaluates the performance of F&amp;O-focused YouTube content published by Trading with Groww by examining video-level engagement, viewership, and weekly growth metrics.</t>
  </si>
  <si>
    <t>The objective of the study is to identify content themes and publishing patterns that contribute to higher user engagement and sustained audience growth.</t>
  </si>
  <si>
    <t>The findings indicate that content performance is strongly influenced by topic relevance, clarity of educational value, and consistency in publishing frequency.</t>
  </si>
  <si>
    <t>Certain F&amp;O content categories consistently outperform others, highlighting clear opportunities to refine and optimize the content strategy for improved reach, audience retention, and subscriber growth.</t>
  </si>
  <si>
    <t xml:space="preserve">KEY INSIGHTS </t>
  </si>
  <si>
    <t>1. Content Type Drives Performance Disparity</t>
  </si>
  <si>
    <t>F&amp;O videos focused on practical trading strategies, option concepts, and market explainers consistently achieve higher total views and engagement rates compared to general updates or broad market commentary. This indicates a strong audience preference for actionable and educational F&amp;O content rather than passive information.</t>
  </si>
  <si>
    <t>2. Engagement Rate Is a Better Indicator Than Views Alone</t>
  </si>
  <si>
    <t>While some videos generate high view counts, videos with moderate views but higher engagement rates demonstrate stronger audience resonance. Engagement rate (likes + comments relative to views) proves to be a more reliable indicator of content quality and relevance than absolute views.</t>
  </si>
  <si>
    <t>3. Consistent Publishing Improves Weekly Growth</t>
  </si>
  <si>
    <t>Weeks with higher video publishing frequency show a noticeable increase in total views and cumulative watch activity. Inconsistent posting correlates with flat or reduced weekly growth, highlighting the importance of predictable content delivery.</t>
  </si>
  <si>
    <t>4. Short-to-Medium Duration Content Performs Better</t>
  </si>
  <si>
    <t>Videos within a short to mid-range duration window tend to deliver better engagement efficiency compared to longer-format videos. This suggests that users prefer concise explanations of F&amp;O concepts that respect time constraints while delivering clear value.</t>
  </si>
  <si>
    <t>5. Engagement Concentration Indicates Repeat Viewership</t>
  </si>
  <si>
    <t>A subset of content types consistently contributes a disproportionate share of engagement. This pattern suggests the presence of repeat viewers, indicating trust in specific formats or presenters and an opportunity to build serialized or themed content.</t>
  </si>
  <si>
    <t>STRATEGIC RECOMENDATIONS</t>
  </si>
  <si>
    <t>1. Prioritize High-Performing F&amp;O Topics</t>
  </si>
  <si>
    <t>Increase production of content centered on:</t>
  </si>
  <si>
    <t>Options strategies and practical examples</t>
  </si>
  <si>
    <t>F&amp;O risk management and common mistakes</t>
  </si>
  <si>
    <t>Concept-driven explainers aligned to live market scenarios</t>
  </si>
  <si>
    <t>2. Optimize Publishing Frequency for Growth</t>
  </si>
  <si>
    <t>Adopt a consistent weekly publishing schedule, targeting multiple uploads during high-performing weeks. Consistency is likely to improve algorithmic visibility and encourage habitual viewership.</t>
  </si>
  <si>
    <t>3. Use Engagement Rate as a Core KPI</t>
  </si>
  <si>
    <t>Shift performance evaluation from views alone to a combined KPI framework including:</t>
  </si>
  <si>
    <t>Engagement Rate</t>
  </si>
  <si>
    <t>Weekly growth in total views</t>
  </si>
  <si>
    <t>Engagement per video</t>
  </si>
  <si>
    <t>This will enable more accurate identification of high-impact content.</t>
  </si>
  <si>
    <t>4. Standardize Video Length Based on Performance Data</t>
  </si>
  <si>
    <t>Align future content to the duration range that demonstrates the strongest engagement efficiency. Longer formats should be reserved for deep-dive topics with proven demand.</t>
  </si>
  <si>
    <t>5. Build Repeatable Content Formats</t>
  </si>
  <si>
    <t>Develop recurring series around top-performing F&amp;O themes to capitalize on repeat audience behavior. Consistent formats improve user retention and brand recall.</t>
  </si>
  <si>
    <t>BUSINESS IMPACT</t>
  </si>
  <si>
    <t>Implementing these recommendations can:
Improve audience retention and session depth
Increase engagement-driven algorithmic reach
Strengthen Groww’s positioning as a trusted F&amp;O education platform
Support scalable user growth through data-driven content decisions
This analysis demonstrates how structured performance tracking and KPI-led decision-making can directly support content growth objectives in a competitive financial education ecosystem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</si>
</sst>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8">
    <font>
      <sz val="10.0"/>
      <color rgb="FF000000"/>
      <name val="Arial"/>
      <scheme val="minor"/>
    </font>
    <font>
      <color theme="1"/>
      <name val="Arial"/>
      <scheme val="minor"/>
    </font>
    <font>
      <u/>
      <color rgb="FF0000FF"/>
    </font>
    <font>
      <u/>
      <color rgb="FF0000FF"/>
    </font>
    <font>
      <b/>
      <sz val="24.0"/>
      <color theme="1"/>
      <name val="Arial"/>
      <scheme val="minor"/>
    </font>
    <font>
      <b/>
      <sz val="11.0"/>
      <color theme="1"/>
      <name val="Arial"/>
      <scheme val="minor"/>
    </font>
    <font>
      <b/>
      <sz val="10.0"/>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10" xfId="0" applyFont="1" applyNumberFormat="1"/>
    <xf borderId="0" fillId="0" fontId="1" numFmtId="4" xfId="0" applyFont="1" applyNumberFormat="1"/>
    <xf borderId="0" fillId="0" fontId="1" numFmtId="165" xfId="0" applyFont="1" applyNumberFormat="1"/>
    <xf borderId="0" fillId="0" fontId="1" numFmtId="0" xfId="0" applyFont="1"/>
    <xf borderId="0" fillId="0" fontId="1" numFmtId="46" xfId="0" applyAlignment="1" applyFont="1" applyNumberFormat="1">
      <alignment readingOrder="0"/>
    </xf>
    <xf borderId="0" fillId="0" fontId="3" numFmtId="0" xfId="0" applyAlignment="1" applyFont="1">
      <alignment readingOrder="0"/>
    </xf>
    <xf borderId="0" fillId="0" fontId="1" numFmtId="21" xfId="0" applyAlignment="1" applyFont="1" applyNumberFormat="1">
      <alignment readingOrder="0"/>
    </xf>
    <xf borderId="0" fillId="0" fontId="1" numFmtId="10"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Total Views</a:t>
            </a:r>
          </a:p>
        </c:rich>
      </c:tx>
      <c:overlay val="0"/>
    </c:title>
    <c:plotArea>
      <c:layout/>
      <c:lineChart>
        <c:varyColors val="0"/>
        <c:ser>
          <c:idx val="0"/>
          <c:order val="0"/>
          <c:tx>
            <c:strRef>
              <c:f>'Weekly KPIs'!$B$1</c:f>
            </c:strRef>
          </c:tx>
          <c:spPr>
            <a:ln cmpd="sng">
              <a:solidFill>
                <a:srgbClr val="4285F4"/>
              </a:solidFill>
            </a:ln>
          </c:spPr>
          <c:marker>
            <c:symbol val="none"/>
          </c:marker>
          <c:cat>
            <c:strRef>
              <c:f>'Weekly KPIs'!$A$2:$A$1000</c:f>
            </c:strRef>
          </c:cat>
          <c:val>
            <c:numRef>
              <c:f>'Weekly KPIs'!$B$2:$B$1000</c:f>
              <c:numCache/>
            </c:numRef>
          </c:val>
          <c:smooth val="0"/>
        </c:ser>
        <c:axId val="687695490"/>
        <c:axId val="541661557"/>
      </c:lineChart>
      <c:catAx>
        <c:axId val="6876954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 Start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41661557"/>
      </c:catAx>
      <c:valAx>
        <c:axId val="541661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769549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Growth %</a:t>
            </a:r>
          </a:p>
        </c:rich>
      </c:tx>
      <c:overlay val="0"/>
    </c:title>
    <c:plotArea>
      <c:layout/>
      <c:barChart>
        <c:barDir val="col"/>
        <c:ser>
          <c:idx val="0"/>
          <c:order val="0"/>
          <c:tx>
            <c:strRef>
              <c:f>'Weekly KPIs'!$E$1</c:f>
            </c:strRef>
          </c:tx>
          <c:spPr>
            <a:solidFill>
              <a:schemeClr val="accent1"/>
            </a:solidFill>
            <a:ln cmpd="sng">
              <a:solidFill>
                <a:srgbClr val="000000"/>
              </a:solidFill>
            </a:ln>
          </c:spPr>
          <c:cat>
            <c:strRef>
              <c:f>'Weekly KPIs'!$A$2:$A$1000</c:f>
            </c:strRef>
          </c:cat>
          <c:val>
            <c:numRef>
              <c:f>'Weekly KPIs'!$E$2:$E$1000</c:f>
              <c:numCache/>
            </c:numRef>
          </c:val>
        </c:ser>
        <c:axId val="518879714"/>
        <c:axId val="409823221"/>
      </c:barChart>
      <c:catAx>
        <c:axId val="5188797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Week_Start_Date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09823221"/>
      </c:catAx>
      <c:valAx>
        <c:axId val="4098232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Weekly_Growth_%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51887971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Views by Content Type</a:t>
            </a:r>
          </a:p>
        </c:rich>
      </c:tx>
      <c:overlay val="0"/>
    </c:title>
    <c:plotArea>
      <c:layout/>
      <c:barChart>
        <c:barDir val="bar"/>
        <c:ser>
          <c:idx val="0"/>
          <c:order val="0"/>
          <c:tx>
            <c:strRef>
              <c:f>'Content Performance'!$B$1</c:f>
            </c:strRef>
          </c:tx>
          <c:spPr>
            <a:solidFill>
              <a:schemeClr val="accent1"/>
            </a:solidFill>
            <a:ln cmpd="sng">
              <a:solidFill>
                <a:srgbClr val="000000"/>
              </a:solidFill>
            </a:ln>
          </c:spPr>
          <c:cat>
            <c:strRef>
              <c:f>'Content Performance'!$A$2:$A$12</c:f>
            </c:strRef>
          </c:cat>
          <c:val>
            <c:numRef>
              <c:f>'Content Performance'!$B$2:$B$12</c:f>
              <c:numCache/>
            </c:numRef>
          </c:val>
        </c:ser>
        <c:axId val="1983880666"/>
        <c:axId val="1103205180"/>
      </c:barChart>
      <c:catAx>
        <c:axId val="19838806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Content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103205180"/>
      </c:catAx>
      <c:valAx>
        <c:axId val="11032051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3880666"/>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Engagement % by Content Type</a:t>
            </a:r>
          </a:p>
        </c:rich>
      </c:tx>
      <c:overlay val="0"/>
    </c:title>
    <c:plotArea>
      <c:layout/>
      <c:barChart>
        <c:barDir val="col"/>
        <c:ser>
          <c:idx val="0"/>
          <c:order val="0"/>
          <c:tx>
            <c:strRef>
              <c:f>'Content Performance'!$C$1</c:f>
            </c:strRef>
          </c:tx>
          <c:spPr>
            <a:solidFill>
              <a:schemeClr val="accent1"/>
            </a:solidFill>
            <a:ln cmpd="sng">
              <a:solidFill>
                <a:srgbClr val="000000"/>
              </a:solidFill>
            </a:ln>
          </c:spPr>
          <c:cat>
            <c:strRef>
              <c:f>'Content Performance'!$A$2:$A$11</c:f>
            </c:strRef>
          </c:cat>
          <c:val>
            <c:numRef>
              <c:f>'Content Performance'!$C$2:$C$11</c:f>
              <c:numCache/>
            </c:numRef>
          </c:val>
        </c:ser>
        <c:axId val="2039249982"/>
        <c:axId val="736859951"/>
      </c:barChart>
      <c:catAx>
        <c:axId val="20392499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Content_Type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736859951"/>
      </c:catAx>
      <c:valAx>
        <c:axId val="736859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 Engagement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203924998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361950</xdr:colOff>
      <xdr:row>0</xdr:row>
      <xdr:rowOff>0</xdr:rowOff>
    </xdr:from>
    <xdr:ext cx="4086225" cy="253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361950</xdr:colOff>
      <xdr:row>12</xdr:row>
      <xdr:rowOff>114300</xdr:rowOff>
    </xdr:from>
    <xdr:ext cx="4086225" cy="25336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419100</xdr:colOff>
      <xdr:row>0</xdr:row>
      <xdr:rowOff>85725</xdr:rowOff>
    </xdr:from>
    <xdr:ext cx="4029075" cy="24955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419100</xdr:colOff>
      <xdr:row>13</xdr:row>
      <xdr:rowOff>28575</xdr:rowOff>
    </xdr:from>
    <xdr:ext cx="4029075" cy="24955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584" sheet="Groww FO Content Raw"/>
  </cacheSource>
  <cacheFields>
    <cacheField name="Title" numFmtId="0">
      <sharedItems>
        <s v="How to Start Trading in 2026: Setup, Risk &amp; Common Mistakes"/>
        <s v="How to use Scalper mode on Groww?"/>
        <s v="Pairs Trading Strategy for Beginners"/>
        <s v="20 years of option trading wisdom  in 50 minutes | ft Raghav malik and Praful Kulkarni"/>
        <s v="Women in Trading: Algo vs Discretionary"/>
        <s v="How to trade reversal patterns?"/>
        <s v="The only trend following strategy you need"/>
        <s v="Ex market maker breaks myths about market manipulation ?"/>
        <s v="When should you buy options?"/>
        <s v="How to Start Trading Gold in India?"/>
        <s v="How to use Groww Cloud? | Algo trading for beginners"/>
        <s v="How to trade the most powerful chart patterns?"/>
        <s v="Complete Guide to Ratio Spreads in Options Trading | What 15 Years in the Markets Taught This Trader"/>
        <s v="What Is the Commodities Market? Everything Beginners Need to Know"/>
        <s v="The Indicator most Traders Overlook | Groww ki Pathshala"/>
        <s v="Can AI make you a better trader?"/>
        <s v="Trading Options While at Work? How to Automate Your Strategy | Trading ki Baat"/>
        <s v="How to Trade Natural Gas for Beginners?"/>
        <s v="How India's Top Traders Trade the Markets | ft. Sarang Sood, Pawan Arora &amp; Praful Kulkarni |"/>
        <s v="Breakfast with Traders | Teaser"/>
        <s v="2 Simple Muhurat Trading Strategies for Diwali 2025"/>
        <s v="How to Trade Crude Oil Using Futures and Options?"/>
        <s v="How to Trade Using Candlestick Patterns in the Stock Market?"/>
        <s v="How to trade Commodities on Groww?"/>
        <s v="Volatility breakout strategy for beginners in trading"/>
        <s v="What backtesting tells about chart patterns"/>
        <s v="How the 'Big Money' Really Trades the Market | Off the Charts Episode 1"/>
        <s v="Beginner’s Guide to Systematic Trading (2025) | Learn Algorithmic Trading with Rakesh Pujara"/>
        <s v="3 ways pro traders adjust option strategies"/>
        <s v="Top 4 Trading Questions Answered: Handling drawdowns, revenge trading and more"/>
        <s v="Top Trader answers the most asked questions in Trading"/>
        <s v="What They're Not Telling You About Option Trading Risks"/>
        <s v="How to use RSI as a trend following indicator? | Swing trading strategy in stocks and fututres"/>
        <s v="How do the GST reforms impact traders?"/>
        <s v="Index options arbitrage trading strategy | What is box strategy in trading?"/>
        <s v="Inside a Trader’s Mind: Losses, Leverage &amp; Strategies | Aditya Pachwaria &amp; Praful Kulkarni"/>
        <s v="How to use AI in trading? | Former Banker &amp; Entrepreneur Turned Trader Reveals It"/>
        <s v="What is the right way to draw Trendlines in trading? | Ultimate Guide to start trading in 2025"/>
        <s v="How to Maximize Returns in Trading | 4 Pillars Explained by Rakesh Pujara"/>
        <s v="How to Do Cashless Trading? Groww’s Pledge Margin &amp; MTF Explained"/>
        <s v="Software Engineer to Full-Time Trader | Sunder’s Positional Trading Setup with Supertrend"/>
        <s v="How to use Charts in Trading? | Ultimate guide to start trading in 2025"/>
        <s v="How to use Price Action for Intraday Trading?"/>
        <s v="Should you Predict the Market for Intraday Trading?"/>
        <s v="3 Best Trades from Expert Traders | Options Trading Strategies"/>
        <s v="From Losses to Crores: Harish Sharma’s Options Trading Journey"/>
        <s v="How to Sell Options Like a Hedge Fund | Options Trading for beginners"/>
        <s v="Ultimate Guide to start trading in 2025 | Trading for beginners"/>
        <s v="From 2 Lakh Debt to Crores in Trading: The Inspiring Journey of a Self-Made Trader"/>
        <s v="How to get Historical Data through Algo Trading? – Episode 10"/>
        <s v="How to Fetch Margin Data through Algo Trading? – Episode 9"/>
        <s v="Is Manipulation Real in Stock Markets?"/>
        <s v="What were the strategies that got Jane Street banned?"/>
        <s v="How to Modify Orders Using an API for Algo Trading? – Episode 8"/>
        <s v="How to do Swing Trading like a pro using this Supertrend strategy? | MTF"/>
        <s v="How to do Pair Trading as a beginner? The complete guide"/>
        <s v="How Margin Trading Can Boost Your Buying Power | MTF Simplified"/>
        <s v="How to Use Options to Replicate Futures in Trading?"/>
        <s v="How to Use APIs to Monitor Your Trades Live in Algo Trading? – Episode 7"/>
        <s v="Master These 5 Intraday Strategies Before Your Next Trade"/>
        <s v="The Best Way to Filter Stocks for Successful Intraday Trading is Here"/>
        <s v="How Gap-Up Trading Strategies Perform in Indian Markets (With Real Data)"/>
        <s v="How this Pro Trader Nails Strangles Every Time | Trading Ki Baat"/>
        <s v="How to place orders through APIs in Algo Trading? – Episode 6"/>
        <s v="Master Chart Reading Like a Pro"/>
        <s v="How to backtest MACD strategy the right way? Ft. Aseem Singhal"/>
        <s v="How this Quant Trader Makes Consistent Gains: His Key Strategy"/>
        <s v="How to Easily Fetch LTP and OHLC Data Using Python for Algo Trading? – Episode 5"/>
        <s v="How to Access Your Portfolio Using Algos: A Step-by-Step Guide – Episode 4"/>
        <s v="How to Manage Risk in Intraday Trading?"/>
        <s v="How to Trade Commodities Futures &amp; Options (FnO) Like a Pro"/>
        <s v="How to Use Groww API for Algo Trading? – Episode 3"/>
        <s v="The Complete Beginner’s Guide to Pair Trading | Trading ki Baat"/>
        <s v="How to Setup Your Algo Trading Toolkit? – Episode 2"/>
        <s v="How to Start Algo Trading for Beginners | Algo trading kaise karte hain? – Episode 1"/>
        <s v="How W.D. Gann Used Math &amp; Time Cycles for Trading Success!"/>
        <s v="Is Point and Figure Trading REALLY Better Than Technical Analysis?"/>
        <s v="Gain the Statistical Edge: Using Regression Analysis in Trading"/>
        <s v="From Software Engineer to Trading Pro: Ashwin Raghavan’s Inspiring Journey | Trading Ki Baat"/>
        <s v="Intraday Trading 101 | Unlocking the Basics for Beginners"/>
        <s v="The #1 THING You Need to Know About NSE's Algorithmic Trading Circular"/>
        <s v="How to trade Commodities? Crude oil, Gold, Natural gas &amp; more"/>
        <s v="Everything You Need to Know About Fibonacci Retracement – Fully Explained"/>
        <s v="How This Trader Wins with Momentum Bursts | Trading ki Baat"/>
        <s v="Stock Options Made EASY"/>
        <s v="How to Grow a Small Trading Account – Breakfast with Traders Panel @Elearnmarkets"/>
        <s v="This Trader Won the World Trading Championship Twice!"/>
        <s v="Chetan Panchamia Shares His GOLDEN Trap Setup For Trading Success | Trading Ki Baat"/>
        <s v="What HAPPENS When You Master Bollinger Bands Trading?📈"/>
        <s v="Smart MONEY Concepts to Know in 2025"/>
        <s v="The Surprising Truth About Order Blocks Strategy📈"/>
        <s v="How Vivek Bajaj Built a Trading Empire | Breakfast with Traders"/>
        <s v="The BEST Way to Avoid Stop Loss Hunting📈"/>
        <s v="The BEST Way To Understand Supply and Demand📈"/>
        <s v="What Happens When You OVERCOME These Doubts?  @POWEROFSTOCKSBySubasish |  Trading Right Pt.3"/>
        <s v="The Surprising Truth About Trading Plans Nobody Tells You📈"/>
        <s v="Want To MASTER Fair Value Gaps? Watch This Now"/>
        <s v="Maximise Your Returns with SMART Investing Techniques📈"/>
        <s v="The Surprising Truth About STOP And REVERSE Trading Nobody Tells You📈"/>
        <s v="The Best Ways to Overcome Trading Hesitation"/>
        <s v="How a Former Big 4 CA Became a Profitable Systematic Trader? 📈 | BwT ft. @CAArjunTandon"/>
        <s v="Want to MASTER Market Reversals? Watch this now"/>
        <s v="Scalping: The Art of Fast Entry and Fast Exit"/>
        <s v="Ratio Spreads: Smart Directional Trading with Built-in Protection"/>
        <s v="What's the Best Budget Trading Strategy for You"/>
        <s v="Mastering Option Trading with Siva's INSIGHTS | Trading ki Baat ft. @OptionsScalping"/>
        <s v="How to Trade During Unpredictable Black Swan Events?"/>
        <s v="Why Multi-Chart Layouts Are Game-Changers for Option Buyers?📈"/>
        <s v="Level Up Your Trading Game with @POWEROFSTOCKSBySubasish  | Trading Right Part 2"/>
        <s v="You Won't Believe What Happens When You Master Reversal Chart Patterns!"/>
        <s v="This 3 Leg Option Buying Experiment Changed Everything!"/>
        <s v="Boost Your Trading Journey in 2025 with These Proven Techniques | ft. V Ranjha"/>
        <s v="How to Use Delivery Percentage for Better Trading Decisions?"/>
        <s v="Why Most Traders Fail: The Right Approach to Trading Success ft. @POWEROFSTOCKSBySubasish"/>
        <s v="Master Elliott Waves with Fibonacci in Just 8 minutes 📈"/>
        <s v="Covered Call: The Rental Income Strategy📈"/>
        <s v="What's the Secret to Riding Big Trends with Pro Option Buyers?"/>
        <s v="Understanding Trend Analysis: A Comprehensive Guide"/>
        <s v="How an IT Professional Became One of India's Most Successful Option Buyer? | BWT Ep 8!📈"/>
        <s v="Build your own trading strategy with 10 simple steps!"/>
        <s v="Ride BIG Trends with EASY Momentum Trading Strategy!"/>
        <s v="Sector Rotation TRADING Made Easy for Beginners"/>
        <s v="How to avoid false breakouts in stock trading using Volume and Price Action!"/>
        <s v="Simple Low-Risk Options Strategy for Monthly Passive Income? | ft. Jasmeet Singh | Trading ki Baat"/>
        <s v="Wyckoff Trading: How to Trade Like Smart Money and Institutions!"/>
        <s v="Secret Options Trading Strategy to Outsmart the Market! | ft. @SantoshKumarPasi  | Trading Ki Baat"/>
        <s v="Stock Trader's SECRET to earning ₹6-7 lakhs Per Month REVEALED!"/>
        <s v="Want to Catch the Next BIG IPO Listing Breakout? Watch This Now!"/>
        <s v="STOP Losing Money in Trading &amp; Start Winning! Free Indicator Revealed to Ride Multibagger Stocks"/>
        <s v="I Quit My 9-5 Job and Made Crores in Trading! ft. @ThetaGainers | Breakfast with Traders Ep. 6"/>
        <s v="How to Trade BankNifty After Weekly Expiries End? | Option Buying Strategy with Supertrend Indicator"/>
        <s v="STOP Falling for Smart Money Traps in the Market! : Inducements Explained"/>
        <s v="Options Trading for Beginners (Complete In-Depth Guide) | Trading Masterclass"/>
        <s v="Dr. Manish EXPOSES the Surprising Truth About Smart Money in Trading! | Trading Ki Baat"/>
        <s v="You Won't Believe The POWER of Rolling Over Options!"/>
        <s v="How to Profit from Option Spikes: High Probability Trading Setups | Trading Ki Baat Ft. Vishal"/>
        <s v="Straddles vs Strangles: Which Options Strategy Suits You Best?"/>
        <s v="Master Trading Like a Business: Risk Management, Leverage &amp; Identifying Your Edge"/>
        <s v="Mean Reversion Strategy Using Pivot Points | Intraday &amp; Positional Trading"/>
        <s v="The Only Swing Trading Video You Will Ever Need! | Trading Ki Baat"/>
        <s v="Zero to Hero Strategy: Master Option Buying on Expiry Days!"/>
        <s v="How to Master Full-Time Stock trading: Risk Management, Capital Strategies"/>
        <s v="How To Time The Markets With Stage &amp; Base Analysis"/>
        <s v="Everything About Full-Time Options Trading with Deepak Wadhwa | Trading Ki Baat"/>
        <s v="How to Trade Imbalances for Maximum Profit: A Complete Strategy!"/>
        <s v="How did Yogeeswar achieve a net worth of 10 crores by trading options?"/>
        <s v="How to Use Fractals for Swing Trading Success: A Step-by-Step Guide!"/>
        <s v="Top TRADER with 34 Years Experience Shares SECRET to Success | Trading Ki Baat"/>
        <s v="How Sourabh Sisodiya Mastered the Stock Market: A Pro-Trader’s Journey | Breakfast with Traders Ep.2"/>
        <s v="India’s Top Trader Aditya Pachwaria Reveals His Trading Strategy #TradingKiBaat"/>
        <s v="Budget 2024 strategy!💰"/>
        <s v="The anatomy of trading breakouts!🔬📈"/>
        <s v="Ultimate Chart Pattern Trading Course! 📉📈"/>
        <s v="How did this trader make 8-figure profit from trading? Ft. Piyush | Breakfast with Traders Ep.1"/>
        <s v="TRADING DETOX! How and when to do it?🤔"/>
        <s v="Forget Stop-losses: Master hedging today!📈"/>
        <s v="OPTION SELLING: HIGH WINNING PROBABILITY vs UNLIMITED LOSSES 🤔"/>
        <s v="HOW TO TRADE ON ELECTION RESULT DAY? (June 4th) 🗳️📈"/>
        <s v="How to make and maintain a trading journal?📝"/>
        <s v="How to make profit in sideways market?💰"/>
        <s v="How to create a Winning Trading System 📈"/>
        <s v="How to trade in Finnifty options | FINNIFTY OPTION BUYING STRATEGY  📈"/>
        <s v="What are the strongest Fibonacci retracement levels? | FIBONACCI RETRACEMENT ADVANCED STRATEGY 📈"/>
        <s v="HOW TO GROW A SMALL TRADING ACCOUNT? 📈"/>
        <s v="What should be the Trading Strategy until Election Results? 📈"/>
        <s v="Previous day-high, day-low | Breakout Trading Strategy | TRADING MASTERCLASS Ep.3 📈"/>
        <s v="Advanced Price Action Trading explained! | Expert price action strategies 📈"/>
        <s v="Basics of Futures Trading | Complete guide to start Futures trading 📈"/>
        <s v="BANKNIFTY Trading Masterclass Ep.2 | Banknifty components complete guide | F&amp;O strategies"/>
        <s v="Elliott Wave Theory: Easy Ways to Predict Market Trends!"/>
        <s v="Option Buying decoded: Expiry day strategy for boosting your gains!"/>
        <s v="Beginner’s guide to Scalping | Scalping Trading Strategies"/>
        <s v="What are Stop-loss jumps? How to enter into trades at the right price? Options Trading for Beginners"/>
        <s v="Beginner's Guide to Fibonacci Trading Strategy Using Fibonacci Retracement Tool"/>
        <s v="Stop losing in INTRADAY trading! Initial Balance Strategy | Trading Masterclass-1"/>
        <s v="What is Top Down analysis in Trading? Do Global markets influence Indian markets?"/>
        <s v="Expiry Day Option Trading Mastery: Simple Strategies For Expiry Trading!"/>
        <s v="What are popular Option Trading Strategies| F&amp;O Trading for Beginners Ep.5"/>
        <s v="How to use Heikin Ashi for better trading decisions? | Supertrend Heikin Ashi Strategy"/>
        <s v="Weekly vs Monthly Expiry Options | Which one is better for you?"/>
        <s v="How do Option greeks work? | PCR | F&amp;O Trading for Beginners Ep.4"/>
        <s v="How to do Intraday Trading using Supertrend Indicator | Intraday Trading Masterclass"/>
        <s v="How to trade when markets are at All Time High?"/>
        <s v="Option Buying vs Selling: Which is better? | Option Chain Analysis | F&amp;O Trading for Beginners Ep. 3"/>
        <s v="Breakout Trading Strategy Explained | Stoploss Hunting | How To Identify False Breakouts?"/>
        <s v="How To Use NSE Data For Trading? | Option Chain | Trading For Beginners"/>
        <s v="How to start Options trading? | options trading for beginners | F&amp;O Trading For Beginners Ep. 2"/>
        <s v="Should You Take Loan For Trading? | Trading Loan"/>
        <s v="What is Stop and Reverse Trading Strategy? | S.A.R using Supertrend Indicator"/>
        <s v="What are futures and options? | How to trade in Futures? | F&amp;O Trading For Beginners in Hindi Ep.1"/>
        <s v="5 Trading Indicators You Must Know | Trading Indicators For Beginners"/>
        <s v="Turtle Trading Strategy Explained | How To Identify Trends In Stock Market?"/>
        <s v="Smart Money Concept | SMC Trading Strategy | BOS, ChoCh and Order Block"/>
        <s v="How To Become a Profitable Swing Trader? Swing Trading For Beginners"/>
        <s v="How To Do Intraday Trading? | Intraday Trading For Beginners"/>
        <s v="Safe Exit Now Live On Groww!"/>
        <s v="What is Pledging of Shares? | Advantages &amp; Disadvantages of Pledging"/>
        <s v="How to use ATR Indicator with Supertrend Indicator | ATR Indicator Strategy"/>
        <s v="How To Create and Backtest a Trading Strategy Using ChatGPT? | ChatGPT Trading Strategy"/>
        <s v="What is Trend Reversal and Trend Continuation Strategy? | MACD Indicator Strategy"/>
        <s v="How To Select Momentum Stocks For Weekly Trades? | Momentum Stocks For Swing Trading"/>
        <s v="Should You Consider Trading as a Career? | Advantages and Disadvantages"/>
        <s v="How To Trade On Budget Day | Budget Day Trading Strategy | Budget 2024"/>
        <s v="RSI + Supertrend Combo For Better Results | RSI Supertrend strategy"/>
        <s v="Expiry Trading For Beginners | Expiry Day Option Trading Explained"/>
        <s v="How To Use Bollinger Bands For Breakout Trades?"/>
        <s v="How To Trade In Futures and Options? | Futures and Options Explained"/>
        <s v="How To Select Stocks For Trading Every Week | Intraday Trading | Swing Trading"/>
        <s v="How to trail a Stop Loss? | Different Methods Explained"/>
        <s v="Nifty Intraday Trading Strategy | Nifty Trading For Beginners"/>
        <s v="Paper Trading Advantages and Disadvantages | How To Paper Trade on TradingView"/>
        <s v="Top 5 Indicators For Intraday Trading | Best Indicators For Intraday Trading"/>
        <s v="Bank Nifty Option Trading Strategy Explained | Which Option Strategy Is Best For Bank Nifty"/>
        <s v="How To Use Supertrend Indicator | Super Trend Trading Strategy"/>
        <s v="What is Trading Psychology &amp; How To Master It? | How Can I Improve My Psychology in Trading?"/>
        <s v="Is MACD a Good Indicator For Intraday Trading? | Best MACD Indicator Settings For Trading"/>
        <s v="How To Use Best-Moving Averages For Intraday? What Is The Best Moving Average Trading Strategy?"/>
        <s v="How Do You Use The ATR Indicator In Intraday Trading? | Best ATR Settings For Target and Stoploss"/>
        <s v="How To Become a PRO TRADER in 2024 | 5 Trading Rules To Become Profitable in 2024"/>
        <s v="Trading Psychology: How To Control Your Emotions | Trading For Beginner Masterclass Ep.6"/>
        <s v="Why Should You Create a Rule Based Trading Strategy | Ab India Karega Invest with Aseem Singhal"/>
        <s v="How To Trade Futures | Futures Trading For Beginners"/>
        <s v="How To Recover From Trading Loss? | Trading Psychology | Trading For Beginners"/>
        <s v="Best Trading Strategies Explained | Price Action, RSI, Bollinger Bands | Trading For Beginners Ep.5"/>
        <s v="How To Start Options Trading | Options Trading For Beginners"/>
        <s v="How To Buy Stocks At Low Price | Option Wheel Strategy Explained"/>
        <s v="How To Find Reversal In Trading? | Overbought and Oversold Zones | RSI Trading Strategy"/>
        <s v="How to avoid loss in trading | Risk Management Trading| Trading For Beginners Masterclass Ep.4"/>
        <s v="How To Trade Futures Using Range Breakouts? | Futures Trading For Beginners"/>
        <s v="How To Use Donchian Channel Indicator? | Donchian Channel Strategy In Hindi"/>
        <s v="What Is Swing Trading? | Swing Trading Masterclass For Beginners"/>
        <s v="How to use Indicators &amp; Chart Patterns in trading | Trading for Beginners Masterclass | EP03"/>
        <s v="How To Use TradingView? | Complete TradingView Tutorial"/>
        <s v="Top 5 Charts In Trading | Different Types of Charts In Trading Explained!"/>
        <s v="3 Most Useful Websites For Trading | Best Websites For Indian Traders"/>
        <s v="How to do technical analysis of stocks? | Trading For Beginners Masterclass Ep. 2"/>
        <s v="5 Steps To Improve Your Intraday Trading Strategies | Master Trading Psychology"/>
        <s v="How Do You Use Pivot Point Standard Indicator? | Trending and Reversal Strategies"/>
        <s v="Top 4 Trading Books You Must Read ! | Trading For Beginners"/>
        <s v="How to start Trading? | Trading for Beginners Masterclass in Hindi - Episode 1"/>
        <s v="How To Improve Trading Accuracy? | Trading Strategies To Increase Profitability"/>
        <s v="What Is Volume In Trading? | How To Avoid False Breakout?"/>
        <s v="How To Select Stocks For Intraday Trading? | Trading For Beginners"/>
        <s v="What Is Hedging and How Does It Work? Best Hedging Strategies For Beginners"/>
        <s v="Top 5 Chart Patterns In Trading With Examples | Trading For Beginners"/>
        <s v="Rule Based Trading Systems | How To Become a Disciplined Trader? | Trading Psychology"/>
        <s v="How To Use ChatGPT For Trading? | ChatGPT Trading Explained For Beginners"/>
        <s v="How To Use CPR Indicator? | Intraday Trading Strategy - Central Pivot Range"/>
        <s v="How To Get Perfect Entry And Exit In Trading? | Alligator Indicator Strategy"/>
        <s v="What Is India VIX ? | Indian VIX Trading Strategy In Hindi"/>
        <s v="Types Of Trading Explained | Which Trading Style Is Best For You? | Trading For Beginners"/>
        <s v="What Is Paper Trading (With Examples)? | Paper Trading For Beginners"/>
        <s v="What Is ADX Indicator? | ADX Indicator Strategy"/>
        <s v="Index Trading Vs Stock Trading - What Is Better?"/>
        <s v="How To Trade On Expiry Day? | Expiry Strategy To Get High Returns In Trading"/>
        <s v="What Is VWAP Trading Strategy? | How To Use VWAP To Capture Trending Market"/>
        <s v="Bollinger Bands Indicator - How To Recognise Volatility? | Bollinger Band Trading Strategy"/>
        <s v="Pivot Point Trading Strategy Explained! | Easiest Intraday Strategy For Trading"/>
        <s v="What Is Pledging Of Shares? | Understanding The Pros And Cons! | Trading For Beginners"/>
        <s v="How To Calculate Put Call Ratio? | PCR Analysis | PCR Trading Strategy"/>
        <s v="Best Methods To Decide Stop-loss | Trailing Stop-loss In Trading"/>
        <s v="What Is Open Interest In Stock Market? | Open Interest Trading Strategy"/>
        <s v="BTST Trading Strategy Fully Explained | BTST Strategy For Stocks And Options Buying"/>
        <s v="How To Select Stock For Intraday Trading? | Equity Trading | Intraday Trading Strategies"/>
        <s v="Technical Analysis Masterclass In Hindi | Trading For Beginners"/>
        <s v="How To Use RSI Divergence Strategy For Positional Trading | RSI Trading Strategy"/>
        <s v="What Are Heikin-Ashi Candles? | Best Heikin Ashi Trading Strategies Explained"/>
        <s v="How To Recover From Big Trading Loss ? | Trading Psychology | Loss Recovery"/>
        <s v="Smart Money Concept Explained | SMC Trading Strategy With High Risk-Reward Ratio      #smartmoney"/>
        <s v="How To Use Chartink Screener For Intraday? | How Do I Scan Stocks In Chartink?"/>
        <s v="5 Rules To Be More Disciplined In Trading | Trading Psychology"/>
        <s v="How To Combine RSI + Supertrend Indicators For Weekly Chart? | Positional Trading Strategy"/>
        <s v="Top 3 Candlestick Patterns Every Trader Should Know"/>
        <s v="What Is Position Sizing In Stock Trading? | How Much Capital To Use Per Trade?"/>
        <s v="Option Selling - 5 Biggest Mistakes To Avoid With Example | Option Trading For Beginners"/>
        <s v="How To Trade On Expiry Day ? | Highly Profitable Zero-Hero Options Trading Strategy"/>
        <s v="How To Do Swing Trading In Options? | Options Selling Strategy"/>
        <s v="How Do I Get Better At Price Action Trading? | Price Action Free Masterclass For Intraday"/>
        <s v="What Is The Best Way To Use Trailing Stop Loss? | What Is The Most Common Trailing Stop-loss Method"/>
        <s v="What Are The Pros and Cons Of Being a Full-time Trader? | Is It Hard To Be a Full-time Day Trader?"/>
        <s v="How Does Elliott Wave Theory Work? | How To Use Elliott Wave Strategy For Trading In Hindi"/>
        <s v="Easiest Way To Trade In Stock Options! | Stock Option Trading For Beginners"/>
        <s v="How Do You Use a Super Trend Indicator? | Super Trend Indicator Best Settings For Intraday"/>
        <s v="How To Trade Using Support And Resistance Levels For Trading | Trading For Beginners In Hindi"/>
        <s v="What Is Turtle Trading Strategy? | How To Use Donchian Indicator | Positional Trading Strategy"/>
        <s v="How Does Gann's Theory Work? | How To Use Gann Fan Strategy With Bollinger Bands And Regression Line"/>
        <s v="Intraday Strangle Option Selling Strategy | Option Trading Strategies | Trading with Groww"/>
        <s v="6 Price Action Trading Tips You Can Learn In 12 Minutes | Advance Price Action Trading Strategies"/>
        <s v="What Is The Best Strategy For Scalping? | Best Scalping Tips &amp; Scalping Strategies For Intraday"/>
        <s v="What Is Max Pain Theory &amp; How Does It Work | Max Pain Option Trading Strategy"/>
        <s v="How To Select Strike Price In Options For Intraday? | How To Select Best Strike Price for Buying"/>
        <s v="How To Trade Using CCI Indicator For Day Trading | CCI Indicator Trading Strategies For Beginners"/>
        <s v="When To Buy Or Sell Call and Put Options | Option Selling vs Option Buying Which Is Better"/>
        <s v="Moving Average Crossover Strategy For Intraday | Moving Average Ko Use Karne Ka Sahi Tarika Kya Hai?"/>
        <s v="How To Predict The Market Direction Using Option Chain Analysis | Option Chain Analysis For Intraday"/>
        <s v="What Are The Advantages Of Full-time Trading? | Should You Become a Full-time Trader"/>
        <s v="How To Trade Using Opening Range Breakout Strategy in Intraday | Best Intraday Strategy in Hindi"/>
        <s v="Short Straddle Adjustments Hindi | Short Straddle Option Strategy | Option Trading For Beginners"/>
        <s v="How to Select the Best Stocks for Swing Trading | Swing Trading Stock Selection for Beginners"/>
        <s v="Stochastic Indicator In Trading For Sideways And Trending Market | Technical Analysis For Beginners"/>
        <s v="How To Use Awesome Oscillator For Trading | Awesome Oscillator Strategy With Trading With Groww"/>
        <s v="Top 7 Tips For Scalping In Intraday Trading | Trading For Beginners | Trading with Groww"/>
        <s v="Top 6 Tips For Swing Trading By Trading with Groww | Swing Trading For Beginners"/>
        <s v="Advantages Of Pledging Shares On Groww App | Shares Pledging | Trading With Groww"/>
        <s v="Bank Nifty Strategy For Expiry Day Trading | Expiry Day Trading Strategy | Trading For Beginners"/>
        <s v="How Much Risk To Take In Share Market| Risk Management Intraday Trading | Position Sizing In Trading"/>
        <s v="What Is Ichimoku Cloud Trading? | Ichimoku Cloud Entry And Exit Criteria | Trading With Groww"/>
        <s v="Minimise Losses With Hedging | Why Should You Hedge? | Hedging Trading Strategy"/>
        <s v="How To Use Google Bard For Trading | Bard Twitter Sentiment Analysis | Bard Trading Analysis"/>
        <s v="How To Trade On Events? | Event Driven Trading Strategy | News Based Intraday Trading"/>
        <s v="How To Set Price Alerts On Groww"/>
        <s v="Stop Loss Kaise Lagaye ? | Top 4 Way To Put Up a Stoploss | Stoploss Trading"/>
        <s v="Best Candlestick Patterns To Trade | Trading For Beginners"/>
        <s v="Intraday Option Selling Strategy For Finnifty | Option Selling Strategies With Kirubakaran Rajendran"/>
        <s v="Top 2 VWAP Trading Strategies | Intraday Trading Strategy | Trading For Beginners"/>
        <s v="Simple Trading Strategy With Mukul Agrawal | Trading For Beginners"/>
        <s v="Option Greeks Explained In Detail: Delta Theta Gamma And Vega | Option Trading For Beginners"/>
        <s v="Breakout Trading Strategy To Enter-Exit A Trade | VCP Pattern Trading | Trading For Beginners"/>
        <s v="How To Use ChatGPT For Trading? | ChatGPT Trading Strategy | Trading For Beginners"/>
        <s v="LEAVE Job To Become a Full Time Trader? | When To Start Full Time Trading? | Trading For Beginners"/>
        <s v="Chart Pattern Analysis | Types Of Chart Patterns | Candlestick Patterns | Trading For Beginners"/>
        <s v="Fibonacci Retracement Trading Strategy | Pullback Based Share Trade | Trading With Groww"/>
        <s v="What Is Trend Following? | Trend Following Strategies | Technical Analysis For Beginners"/>
        <s v="How To Trade In Low India VIX? | India VIX Trading Strategy | Options Trading For Beginners"/>
        <s v="Algo Trading Strategies For Beginners With Kirubakaran Rajendran | How To Setup Full Explanation"/>
        <s v="Option Buying Strategy | Options Trading For Beginners | Trading Ki Baat With Jaynesh Kasliwal"/>
        <s v="How To Draw Trendlines | Trendline Trading Strategy | Support And Resistance | Trading For Beginners"/>
        <s v="What Is Price Action? | Price Action Trading Rules | Trading with Groww"/>
        <s v="How To Place Large Quantity Orders In One Click On Groww"/>
        <s v="Paper Trading For Beginners | Tradingview Paper Trading | Should You Do Paper Trading?"/>
        <s v="How To Do Momentum Trading? | Momentum Trading Strategies | Option Buying Strategy For Intraday"/>
        <s v="Inside Bar Strategy with Vibhor Varshney | Inside Candle Intraday Strategy | Trading Ki Baat"/>
        <s v="Weekly Options Trading | How To Trade Weekly Options | Options Trading For Beginners"/>
        <s v="How To Do Gap Trading | Gap Up and Gap Down Strategy | Trading with Groww"/>
        <s v="Positional Trading Strategy | Trading For Beginners | Rishikesh Singh Equity4life"/>
        <s v="Trading With Full Time Job | Job Ke Sath Trading Kaise Kare | Trading and Job Together"/>
        <s v="Option Selling With Low Capital | Trading with Groww | Option Selling Strategies"/>
        <s v="Price Action with Kiran Bala | Option Buying strategy | Support and Resistance at Trading ki Baat"/>
        <s v="Should You Pledge Shares For Margin? | Pledging | Stock market For Beginners"/>
        <s v="Monthly Options For Monthly Income | Weekly vs Monthly Options | How To Trade Options"/>
        <s v="Swing trading strategies with Bharat Jhunjhunwala | Trading ki Baat | RSI indicator explained"/>
        <s v="Cpr trading strategy - Central Pivot Range | intraday trading strategies | pivot points"/>
        <s v="More to pay on trading transactions? | stt charges in share market | futures and options"/>
        <s v="How To Use Pivot Point Trading Strategy ? | Pivot Point Indicator"/>
        <s v="VWAP Trading Strategy | Intraday Trading Strategies"/>
        <s v="Stoploss Hunting In Intraday Trading | Trading Ki Baat | Trading For Beginners"/>
        <s v="What is put call ratio trading strategy  | Option trading strategy | Trading for beginners"/>
        <s v="Futures and Options in Share Market | Futures Trading | Options Trading For Beginners"/>
        <s v="Why 89% Traders Fail | Do's and Don'ts of trading | sebi latest news"/>
        <s v="How To Trade In Sideways Market"/>
        <s v="Powerful Straddle Trading Strategy | Trading Ki Baat with Saketh Ramakrishna"/>
        <s v="Hedging Trading Strategy For Maximum Profits"/>
        <s v="How To Select Strike Price In Options"/>
        <s v="Trading Ki Baat with Kapil Agarwal | How Trading Mindset &amp; Psychology Brings In Profits"/>
        <s v="Calendar Spread Option Strategy &amp; Adjustments"/>
        <s v="Trading Hours EXTENDED? | Impact of Extended Trading Hours"/>
        <s v="How To Improve Trading Psychology"/>
        <s v="Pair Trading Strategy For Maximum Profits"/>
        <s v="Chartered Accountant To Full Time Trader | Trading Ki Baat With Sachin Saluja"/>
        <s v="Relative Strength Trading Strategy For Higher Accuracy"/>
        <s v="India VIX Trading Strategies For More Profits"/>
        <s v="INCREASE Returns With LOWER Risk | Trading Ki Baat With Aamodh Kuthethur"/>
        <s v="Commodity Trading For Beginners | How To Trade In Commodity Market?"/>
        <s v="Will Adani Stocks CRASH Further? | Adani share latest news"/>
        <s v="Budget Day Trading Strategy | Budget 2023 Option Strategy"/>
        <s v="How To Trade With Low Capital In Stock Market"/>
        <s v="How To Do Intraday Option Trading In Nifty | Intraday Trading Tips"/>
        <s v="Can Penny Stocks Give Multibagger Returns?"/>
        <s v="When To Avoid Trading"/>
        <s v="Learn Systematic Trading &amp; Become Profitable!"/>
        <s v="Option Buying Tips To Increase Profits"/>
        <s v="How To Become a Profitable Trader in 2023"/>
        <s v="Scalping Trading Strategy For Consistent Profits"/>
        <s v="Uncovering the Advantages &amp; Disadvantages of Rule-Based Trading"/>
        <s v="Profiting with Heikin Ashi Swing Trading Strategy | Trading With Groww"/>
        <s v="Backtesting a Trading Strategy: Step-by-Step Guide | Stock Mock"/>
        <s v="Maximize Your Trading Potential with TradingView's Tools and Features!"/>
        <s v="FINNIFTY expiry day strategy | Intraday Expiry  Strategy"/>
        <s v="How I Learned From My Trading Mistakes| Day Trading Mistakes"/>
        <s v="Alligator Indicator Trading Strategy | How to use Indicator on Groww app?| intraday trading strategy"/>
        <s v="How to pick trades with Open Interest? | Open Interest trading strategy | open interest explained"/>
        <s v="EXPIRY SPECIAL: How to read price action on thursdays? Trading ki Baat with Anil Hudda"/>
        <s v="Options Trading for Beginners | Groww app F&amp;O Trading kaise kare ?"/>
        <s v="Should you QUIT your job for Trading? Day trading full time"/>
        <s v="Learn How to Make Money with Nifty Options Trading | options trading for beginners"/>
        <s v="Risks in Futures &amp; Options Trading! Trading For Beginners"/>
        <s v="Master ADX, Alligator and MACD Indicators. Trading ki baat with Rohit Katwal"/>
        <s v="November Trading Strategy Results: A Performance Review You Can't Miss!"/>
        <s v="Top 5 stocks with highest returns (1 month) | Technical Analysis"/>
        <s v="Open High Open Low Strategy | Intraday Trading for beginners | intraday trading strategies"/>
        <s v="Positional Trading : Rule-based trading strategy"/>
        <s v="How to do Intraday Trading on Groww App | Intraday Trading For Beginners"/>
        <s v="How to generate regular income from options? | Options strategy for regular income"/>
        <s v="Chartink Intraday Scanner | How to build scanner &amp; dashboard for trading? | intraday stock selection"/>
        <s v="Top 5 pointers for Rule based trading strategy | Mechanical trading strategies"/>
        <s v="How to compound your capital with trading systems? Trading ki baat with Jegan @CapitalZone"/>
        <s v="Bollinger Bands Trading Strategy | Trading For Beginners"/>
        <s v="Banknifty Futures Trading Strategy | Heikin Ashi &amp; Supertrend"/>
        <s v="The truth about day trading stocks | What it takes to succeed?"/>
        <s v="How to use Fibonacci for perfect entry and targets? | Fibonacci Retracement"/>
        <s v="Low risk - high return| long straddle option strategy | trading ki baat with Robin"/>
        <s v="8 Steps for a Successful Trading Plan | Trading Plan"/>
        <s v="Top Candlestick Patterns For Swing Trading| Trading For Beginners"/>
        <s v="Rule-Based Swing Trading With Entry &amp; Exit"/>
        <s v="The Disciplined Trader: Developing Winning Attitudes For Success"/>
        <s v="Top 3 Volume-Based Trading Indicators| Swing &amp; Intraday Trading"/>
        <s v="How to Start Trading as a Beginner? Trading for Beginners (Hindi)"/>
        <s v="Long-Term Secrets to Short-Term Trading | Trading For Beginners"/>
        <s v="Learn Scalping Trading Strategy In Options | Trading Ki Baat With Sankalp"/>
        <s v="Trade Nifty In Just 15 Minutes A Day| Intraday Trading"/>
        <s v="Top 5 Profitable Chart Patterns| Intraday Trading For Beginners"/>
        <s v="The One-Hour Trade: Make Money with One Simple Strategy| Day Trading"/>
        <s v="Do Trading Strategies Stop Working? Trading For Beginners"/>
        <s v="How To Make Consistent Profits From Expiry Trading? Trading Ki Baat With Kirubakaran  @tradewithkiru"/>
        <s v="Mark Minervini Strategy | Trade Like A Stock Market Wizard"/>
        <s v="NIFTY is Headed For Another Bull Run? Nifty All Time High!!"/>
        <s v="Top 5 Day Trading Metrics For Success | Trading for Beginners"/>
        <s v="Option Buying Strategies | Options Trading Intraday &amp; Positional"/>
        <s v="Trading Strategy Results For October | Trading Performance Review"/>
        <s v="How to Day Trade for a Living: A Beginner's Guide to Tools, Money Management and Trading Psychology"/>
        <s v="Stocks With 52 Week Highs: How To Trade Them?"/>
        <s v="This Indicator Helps Determine Breakout Strength: CHAIKIN MONEY FLOW"/>
        <s v="Trade Like a Pro: Master These Position Sizing &amp; Risk Management Techniques for Successful Trading!"/>
        <s v="How To Trade Stock Options In A Profitable &amp; Consistent Manner? Trading Ki Baat with Ashish Gupta"/>
        <s v="Top 3 Bullish Stocks For Swing Trading | Technical Analysis (21-10-2022)"/>
        <s v="GAP UP &amp; GAP DOWN! How to Trade Gaps In Trading?"/>
        <s v="ATR Indicator Secrets! How To Use ATR Indicator?"/>
        <s v="Trading In The Zone Book Review (Hindi): Most Valuable Trading Lessons"/>
        <s v="How This Trader Catches Explosive Moves in Equities? Trading Ki Baat with Manas Arora | Episode-4"/>
        <s v="How To Select Stocks For Option Selling? | Options Trading"/>
        <s v="Reversal Round The Corner For These Beaten Down Stocks? Swing Trading!"/>
        <s v="How To Trade A Shooting Star Pattern? Trading For Beginners"/>
        <s v="How To Use NSE Website? Trading Analysis!"/>
        <s v="How this system trader manages his strategies and risk efficiently | Trading Ki Baat with Prathamesh"/>
        <s v="George Soros: The Man Who Broke The Bank Of England!"/>
        <s v="Will Correction Continue In These Adani Stocks? Adani Stocks Latest News!"/>
        <s v="Where will NIFTY reach next? Technical Analysis"/>
        <s v="How To Draw Perfect Trendlines? Powerful Trading Strategies using Trendlines"/>
        <s v="How This Trader Made it Big Alongside a Job? Trading ki Baat with Ronak Unadkat | Episode 2"/>
        <s v="The Trend Following Market Wizard: Ed Seykota !!"/>
        <s v="Top 3 Momentum Stocks For Swing Trading | Technical Analysis (29-09-2022)"/>
        <s v="How To Use The Stochastic Indicator In Trading?"/>
        <s v="Long Buildup, Short Covering, Short Buildup, Long Unwinding Explained!! Option Chain Practicals"/>
        <s v="How This Engineer Became a Successful Trader? Trading ki Baat with Manu Bhatia &amp; Arjun | Episode 1"/>
        <s v="Jessie Livermore: The Story Of Trader From Poverty To Riches And Back Again!!"/>
        <s v="Top 3 Bullish Stocks For Swing Trading | Technical Analysis (21-09-2022)"/>
        <s v="Continuation Chart Patterns: The Ultimate Guide for Trading Trending Stocks!!!"/>
        <s v="Discover The Secrets Of Expiry Day Trading | Expiry Trading Strategies"/>
        <s v="What is India Vix?"/>
        <s v="Top 3 Bullish Stocks For Swing Trading | Technical Analysis"/>
        <s v="Jim Simons: The Inspiring Story of How A Math Teacher Became Rich Through Trading"/>
        <s v="Positional Trading For Beginners (Strategies &amp; Risk Management)"/>
        <s v="Top 4 Bullish Stocks For Swing Trading | Technical Analysis"/>
        <s v="5 Powerful Ways To Predict Stock Market Trend Reversals | Trading For Beginners"/>
        <s v="Pre Market Prep Kaise Kare? | Intraday Trading For Beginners"/>
        <s v="3 Best Price Action Trading Secrets |The Ultimate Guide"/>
        <s v="You Should Stop Trading If You Are Doing This! Trading For Beginners"/>
        <s v="Top 4 Banking Stocks To Watch Out For | Technical Analysis"/>
        <s v="How To Start Your Trading Journey The Right Way? | Siddharth Bhanushali &amp; Sharique Samsudheen"/>
        <s v="ADX Indicator: Use This Tool To Find Momentum In The Market!"/>
        <s v="The 5 Minute Intraday Trading Strategy for Beginners"/>
        <s v="What Rule-Based Trading Is All About | Kirubakaran, Vivek Gadodia &amp; Sonam"/>
        <s v="Elliott Wave Theory For Trading | Basics of Elliott Wave"/>
        <s v="Intraday Rule Based Option Selling Strategy | 9:20 Straddle"/>
        <s v="How to use Multiple Indicators for Trading? | Trading Systems"/>
        <s v="Is It Time To Buy Adani Group Of Stocks? Adani Shares Latest News"/>
        <s v="Stock Trading Vs Index Trading: Which is Better for You? | Trading For Beginners"/>
        <s v="Option Chain Analysis: How to Trade Options Effectively | Options Trading"/>
        <s v="Opening Range Breakout Strategy | Intraday Trading Strategy"/>
        <s v="Volume Trading: How To Use Volume Indicator For Analysis"/>
        <s v="Options Theta Decay: What You Need To Know Before BUYING OPTIONS | Options Trading"/>
        <s v="A Simple and Powerful Equity Intraday Strategy"/>
        <s v="How to use TradingView charts on Groww ? | Groww App Me TradingView Chart Kaise Dekhe?"/>
        <s v="Van Tharp: The Trader With Most Powerful Trading Principles You'll Ever Hear (Risk Management)"/>
        <s v="What should be your realistic return expectations from Stock Market? | Trading with Groww"/>
        <s v="Dow Theory in Technical Analysis | Everything you need to know!"/>
        <s v="How To Set A Proper Stop Loss | Trading For Beginners"/>
        <s v="OPTION GREEKS: The Five Pillars Of Options Trading | Options Trading For Beginners"/>
        <s v="Short Straddle Adjustments | Learn How To Manage A Straddle"/>
        <s v="Zomato share is falling | Zomato share technical analysis | Zomato share latest news"/>
        <s v="The 6 Most Common Trading Mistakes - Which One Are You Making?"/>
        <s v="This is how you stay a step ahead of the market trends: Best leading indicators"/>
        <s v="Open Interest Explained - You Will Master Trading After Watching This!"/>
        <s v="Bajaj Auto  Vs  Mahindra &amp; Mahindra | Technical analysis of stocks"/>
        <s v="Iron Condor: The Improved Version of Short Strangle"/>
        <s v="Watch This to Trade Breakouts Like a Pro!"/>
        <s v="BTST TRADING STRATEGY"/>
        <s v="Britannia Technical Analysis | Britannia industries share news | Technical analysis of stocks"/>
        <s v="ADD STOP-LOSS TO YOUR INTRADAY ORDERS"/>
        <s v="Paper Trading For Beginners | Paper Trading Kaise Kare? | Trading For Beginners"/>
        <s v="ITC Technical Analysis - This Is What You Need To Know"/>
        <s v="Butterfly : Best Option Strategy For Beginners, Low Risk High Reward"/>
        <s v="Trend Following vs Mean Reversion - Which One Is Better? | Mean Reversion vs Momentum"/>
        <s v="This Tool Will Show You Everything You Need To Know About Support And Resistance Levels In Trading"/>
        <s v="Heiken Ashi Trading Strategy for Beginners"/>
        <s v="Top 5 Swing Trading Signals to Watch Out | Trade Ideas For This Week"/>
        <s v="Scalping Trading Strategy - How Scalping Works and How to do it"/>
        <s v="How to Trade Options For Maximum Profit - Using a Bull Call and Bear Put Strategy"/>
        <s v="4 Methods for selecting stocks for Intraday Trading | Trading for beginners"/>
        <s v="Simple Positional Option Trading Strategy"/>
        <s v="Put Call Ratio Explained: The Right Way To Interpret Put Call Ratio (PCR)"/>
        <s v="Top 5 Bollinger Bands Trade Signals For This Week"/>
        <s v="How To Trade A Bear Market To Make Big Profits: The Secrets of Trading"/>
        <s v="Learn The Different Types Of Trading And Which One Is Right For You | Trading For Beginners"/>
        <s v="3 Stocks To Watch Out For: Swing Trading This Week"/>
        <s v="How To Keep a Trading Journal: The Definitive Guide"/>
        <s v="VWAP Strategy: The Ultimate Mean Reversion Indicator For Option Buying | Option Buying Strategy"/>
        <s v="The 6 Point Checklist To Start Your F&amp;O Trading Like A PRO"/>
        <s v="The Untold Secret of Ichimoku Trading"/>
        <s v="Swing Trading Strategy for Beginners  | Trading For Beginners"/>
        <s v="The Supertrend Strategy that works"/>
        <s v="Price Action Trading | How to Trade Channels | Trading for beginners"/>
        <s v="Fibonacci retracement for Intraday Trading | Intraday Trading Strategies for beginners"/>
        <s v="Moving Average Indicator Strategies | Intraday Strategies for Beginners"/>
        <s v="Risk Management in Trading | Money Management &amp; Position Sizing for Intraday Trading"/>
        <s v="Types of Orders in Stock Market | Market Order Vs Limit Order"/>
        <s v="Future and Option Terminologies Explained | Option Trading for Beginners"/>
        <s v="Support &amp; Resistance in Trading | How to use them to Trade Breakouts? (Hindi)"/>
        <s v="Intraday Entry &amp; Exit| How to find the right entry and exit| Intraday Trading for Beginners"/>
        <s v="Trailing Stop Loss | Top 3 Trailing Stop-Loss Techniques | Intraday Trading for Beginners"/>
        <s v="Options Trading: Covered Call | Options Trading for Beginners"/>
        <s v="Which is the Best Timeframe to Trade for Beginners | Best Timeframe for Intraday Trading"/>
        <s v="Options Trading: Straddle and Strangle | Options Trading for Beginners"/>
        <s v="Top 5 Trading Indicators: What they are and how to use them | Intraday Trading for beginners"/>
        <s v="How to use Indicators on Groww | Exploring Features of Groww Web Platform"/>
        <s v="Strongest Candlestick Pattern | Intraday Trading Pattern for Beginners"/>
        <s v="5 Breakdown Stocks You Should Watch | Intraday Trading for Beginners"/>
        <s v="Price Action Trading for Beginners | How to Trade Breakouts &amp; False Breakouts explained"/>
        <s v="Options Trading for Beginners | ITM, ATM &amp; OTM Options Explained | Basics of Options"/>
        <s v="RSI - RSI Trading Strategy for Beginners | Trading with Groww"/>
        <s v="Profitable Trading pattern for Intraday Trading | Morning Star Pattern |Trading with Groww"/>
        <s v="Technical analysis NIFTY | Moving Average | Trading with Groww"/>
        <s v="Support and Resistance | How to identify key levels and draw them on Groww"/>
        <s v="Which Option is Better - Buying or Selling?"/>
        <s v="Introducing Aseem Singhal | Algo Quant Trader | Fund Manager | Trading with Groww"/>
        <s v="Technical analysis of HDFC &amp; Infosys | Technical analysis of stocks"/>
        <s v="How to master Trading [5 Psychology hacks] | Trading with Groww"/>
        <s v="3 Golden Rules to spot Stock Trends | Trading with Groww"/>
        <s v="Option trading for beginners: How to trade Options on Groww"/>
        <s v="ITC Share Technical Analysis | ITC Share latest news | Trading with Groww"/>
        <s v="VWAP Trading Strategy explained | Intraday Trading Strategy for beginners"/>
        <s v="How to do intraday trading on Groww? | Trading with Groww"/>
        <s v="Technical analysis of Adani Wilmar | Latest analysis and update"/>
        <s v="How to get started with trading | Beginners Trading Guide"/>
        <s v="Top 5 Bullish MACD Stocks | Trading with Groww"/>
        <s v="How to set a stop-loss while trading | Trading with Groww"/>
        <s v="Top 5 momentum stocks | Trading with Groww"/>
        <s v="How to find momentum stocks | Trading with Groww"/>
        <s v="Paytm analysis: Technical analysis of PayTm | Why is Paytm stock going down? | Paytm share"/>
        <s v="How to trade during volatile markets | Trading with Groww"/>
        <s v="10 tips to become a better trader | Trading for beginners | Trading with Groww"/>
        <s v="Top 5 breakdown stocks | Trading with Groww"/>
        <s v="Best trading strategy: Price action trading strategies in Hindi | Trading for beginners"/>
        <s v="Best trading strategy: How to find breakout stocks? | Trading for beginners"/>
        <s v="Complete guide to candlesticks in Hindi | Candlestick patterns for beginners | Trading with @Groww"/>
        <s v="[Tutorial] Technical analysis of stocks for beginners | Trading with @Groww for beginners"/>
        <s v="How to trade on a Budget day | Trading strategies during Budget 2022 | Union Budget 2022"/>
        <s v="Candlestick Patterns for Beginners | Candlestick Analysis | Candlestick Chart | Trading with @Groww"/>
        <s v="What are volumes? How to analyze volumes to make trading strategies? | Trading for beginners"/>
        <s v="How to use Hanging Man candlestick pattern to trade | Trading for beginners | Trading with @Groww"/>
        <s v="How to trade using Doji Candlestick pattern | Technical analysis | Doji candlestick trading strategy"/>
        <s v="How to trade using Hammer Candlestick | Technical analysis | Hammer candlestick trading strategy"/>
        <s v="Candlesticks for beginners | Candlestick patterns in Hindi | Trading with Groww"/>
        <s v="Technical analysis of RBL Bank | Trading strategy | Trading for beginners"/>
        <s v="CAMS share technical analysis: CAMS Chart analysis | CAMS latest news | Trading with Groww"/>
        <s v="What are Options contract in F &amp; O | Options Trading | Futures &amp; Options Trading For Beginners"/>
        <s v="Bajaj Finance share technical analysis: Bajaj Finance Chart analysis | Bajaj Finance latest news"/>
        <s v="Asian Paints share technical analysis: Asian Paints Chart analysis | Asian Paints share latest news"/>
        <s v="What are Futures contract in F &amp; O | Futures Trading | Futures &amp; Options Trading For Beginners"/>
        <s v="Technical analysis of CDSL | CDSL share chart analysis | Trading with Groww"/>
        <s v="Technical analysis of Laurus labs | Laurus labs share | Chart analysis | Trading with Groww"/>
        <s v="Volatility Contraction Pattern (VCP) - How to trade using VCP Chart Pattern | Trading for beginners"/>
        <s v="Basics of Futures and Options (F&amp;O) | Futures and Options explained | Futures Trading for beginners"/>
        <s v="How to use charts and indicators on Groww | Trading strategy | Intraday trading for beginners"/>
        <s v="Trading for beginners: Flag &amp; Pole pattern | Rectangle pattern | Technical analysis for beginners"/>
        <s v="Moving average indicator for Intraday trading - Trading for beginners"/>
        <s v="Trading for beginners: Bollinger band indicator | Intraday trading strategy | Trading with Groww"/>
        <s v="Trading for beginners: Double top &amp; Double bottom pattern | Head &amp; shoulders pattern"/>
        <s v="Trading for beginners: Stochastic indicator | Technical analysis | Trading with Groww"/>
        <s v="Trading for beginners: Wedges, Cup &amp; Handle chart pattern | Technical analysis | Trading with Groww"/>
        <s v="MACD indicator explained - How to use MACD indicator for trading strategy"/>
        <s v="Trading for beginners: Introduction to Indicators &amp; Chart Patterns | Stock Trading with Groww"/>
      </sharedItems>
    </cacheField>
    <cacheField name="URL" numFmtId="0">
      <sharedItems>
        <s v="https://www.youtube.com/watch?v=fs3ymeu4S4o"/>
        <s v="https://www.youtube.com/watch?v=g0cpD5zRIv0"/>
        <s v="https://www.youtube.com/watch?v=w88cFKw4ZRg"/>
        <s v="https://www.youtube.com/watch?v=aEFQJPAOEsY"/>
        <s v="https://www.youtube.com/watch?v=NykmV3um238"/>
        <s v="https://www.youtube.com/watch?v=ibols1RooE0"/>
        <s v="https://www.youtube.com/watch?v=aiQvqjCcrxA"/>
        <s v="https://www.youtube.com/watch?v=ybRdZNf7zHE"/>
        <s v="https://www.youtube.com/watch?v=fcOl7-Py1xI"/>
        <s v="https://www.youtube.com/watch?v=gJKLJUTdolU"/>
        <s v="https://www.youtube.com/watch?v=IqvK_labGWQ"/>
        <s v="https://www.youtube.com/watch?v=mDc-yBAgaEw"/>
        <s v="https://www.youtube.com/watch?v=c0YDkmdzPc4"/>
        <s v="https://www.youtube.com/watch?v=k7BMZUDotVQ"/>
        <s v="https://www.youtube.com/watch?v=khIPES9yoTw"/>
        <s v="https://www.youtube.com/watch?v=k8BD2xBEvz4"/>
        <s v="https://www.youtube.com/watch?v=hnYzC8FoiFA"/>
        <s v="https://www.youtube.com/watch?v=b-zm0a3Cvhw"/>
        <s v="https://www.youtube.com/watch?v=rTn49xI-JYs"/>
        <s v="https://www.youtube.com/watch?v=Sbrny5XDIkI"/>
        <s v="https://www.youtube.com/watch?v=EBVgY2QhaZU"/>
        <s v="https://www.youtube.com/watch?v=lYc32tH-yoA"/>
        <s v="https://www.youtube.com/watch?v=Zs0JLjy633M"/>
        <s v="https://www.youtube.com/watch?v=OpVV9WydImo"/>
        <s v="https://www.youtube.com/watch?v=X4s8pEniu2Y"/>
        <s v="https://www.youtube.com/watch?v=8YhXikBY9HQ"/>
        <s v="https://www.youtube.com/watch?v=bF4GqcOHs48"/>
        <s v="https://www.youtube.com/watch?v=pg9m0coQQ5I"/>
        <s v="https://www.youtube.com/watch?v=QR4withfuvw"/>
        <s v="https://www.youtube.com/watch?v=Qlu5GxPQXdE"/>
        <s v="https://www.youtube.com/watch?v=ymvm3XKZMUA"/>
        <s v="https://www.youtube.com/watch?v=sJV3H29KeS4"/>
        <s v="https://www.youtube.com/watch?v=EbkLGDc73dQ"/>
        <s v="https://www.youtube.com/watch?v=sK9stIl_2GQ"/>
        <s v="https://www.youtube.com/watch?v=IFvYypVvHWU"/>
        <s v="https://www.youtube.com/watch?v=Mch7O7n2kqc"/>
        <s v="https://www.youtube.com/watch?v=rYzKmlLJJ90"/>
        <s v="https://www.youtube.com/watch?v=jM2XmcDJ3cs"/>
        <s v="https://www.youtube.com/watch?v=Vs3wSCv4gi8"/>
        <s v="https://www.youtube.com/watch?v=64csqupvpGs"/>
        <s v="https://www.youtube.com/watch?v=td3srID3mRE"/>
        <s v="https://www.youtube.com/watch?v=0f057xsM2kQ"/>
        <s v="https://www.youtube.com/watch?v=JiMp4B_HXbA"/>
        <s v="https://www.youtube.com/watch?v=vV-vVs6pyr0"/>
        <s v="https://www.youtube.com/watch?v=KKb60wveIb0"/>
        <s v="https://www.youtube.com/watch?v=kPp0HRfwhSc"/>
        <s v="https://www.youtube.com/watch?v=gccQH3dlaP4"/>
        <s v="https://www.youtube.com/watch?v=li51R3ns5uI"/>
        <s v="https://www.youtube.com/watch?v=bjTFZqbmzW4"/>
        <s v="https://www.youtube.com/watch?v=U3bnYGwIMT8"/>
        <s v="https://www.youtube.com/watch?v=n0qnVcweNV4"/>
        <s v="https://www.youtube.com/watch?v=hbsi6U8T_dI"/>
        <s v="https://www.youtube.com/watch?v=-eTI_o7yp0E"/>
        <s v="https://www.youtube.com/watch?v=guJrJ59l5qY"/>
        <s v="https://www.youtube.com/watch?v=kKU4UwpOsqk"/>
        <s v="https://www.youtube.com/watch?v=IMyp_kHonus"/>
        <s v="https://www.youtube.com/watch?v=_ZH5q7-Yiys"/>
        <s v="https://www.youtube.com/watch?v=GO4HC4Yr0VQ"/>
        <s v="https://www.youtube.com/watch?v=y0JB1BiE7Ig"/>
        <s v="https://www.youtube.com/watch?v=XlryGjTWQjk"/>
        <s v="https://www.youtube.com/watch?v=TmT9Gd7gzlw"/>
        <s v="https://www.youtube.com/watch?v=uP5VreGrCW0"/>
        <s v="https://www.youtube.com/watch?v=JbV8FpZVqxA"/>
        <s v="https://www.youtube.com/watch?v=J8pqOmjuZOs"/>
        <s v="https://www.youtube.com/watch?v=vKJQAN4FyMA"/>
        <s v="https://www.youtube.com/watch?v=lEN7Dxt0hu8"/>
        <s v="https://www.youtube.com/watch?v=yORQfR-X4Uo"/>
        <s v="https://www.youtube.com/watch?v=cqXZ008X-4s"/>
        <s v="https://www.youtube.com/watch?v=9u0ux6ezzpc"/>
        <s v="https://www.youtube.com/watch?v=EEw2wU8Gyl0"/>
        <s v="https://www.youtube.com/watch?v=4FXEyorIAHA"/>
        <s v="https://www.youtube.com/watch?v=UnA3upqGVMI"/>
        <s v="https://www.youtube.com/watch?v=qrx0yO_l9nQ"/>
        <s v="https://www.youtube.com/watch?v=9N8bAMfYzTo"/>
        <s v="https://www.youtube.com/watch?v=Cbm2zCGczXU"/>
        <s v="https://www.youtube.com/watch?v=-SQixn7dBsI"/>
        <s v="https://www.youtube.com/watch?v=6_TdKtAs0vs"/>
        <s v="https://www.youtube.com/watch?v=WxNgfTxCyw0"/>
        <s v="https://www.youtube.com/watch?v=MWSll2gn764"/>
        <s v="https://www.youtube.com/watch?v=1D49iAS_pgk"/>
        <s v="https://www.youtube.com/watch?v=wLqX6oX06QU"/>
        <s v="https://www.youtube.com/watch?v=W5dpld02JaQ"/>
        <s v="https://www.youtube.com/watch?v=ayyD4Gn8dO0"/>
        <s v="https://www.youtube.com/watch?v=lGhHKmHOP1A"/>
        <s v="https://www.youtube.com/watch?v=bqTTLp6tl70"/>
        <s v="https://www.youtube.com/watch?v=o6Oc80s0-yc"/>
        <s v="https://www.youtube.com/watch?v=gP6ZGj90hgo"/>
        <s v="https://www.youtube.com/watch?v=b8jDVM1CQD8"/>
        <s v="https://www.youtube.com/watch?v=yulWi_0y5A4"/>
        <s v="https://www.youtube.com/watch?v=rjl5aF6kESM"/>
        <s v="https://www.youtube.com/watch?v=mRQBZVPK660"/>
        <s v="https://www.youtube.com/watch?v=GHVc0pRgjXQ"/>
        <s v="https://www.youtube.com/watch?v=5RKpukhayDM"/>
        <s v="https://www.youtube.com/watch?v=O9bUjAaLygY"/>
        <s v="https://www.youtube.com/watch?v=GP0zpFZk7Sw"/>
        <s v="https://www.youtube.com/watch?v=kisztCOoq7g"/>
        <s v="https://www.youtube.com/watch?v=q3iOD1yem04"/>
        <s v="https://www.youtube.com/watch?v=_JGSV_hcOVo"/>
        <s v="https://www.youtube.com/watch?v=iOMGQnFxBQo"/>
        <s v="https://www.youtube.com/watch?v=A0BGtayaX9Y"/>
        <s v="https://www.youtube.com/watch?v=u7Ek1KYAAbE"/>
        <s v="https://www.youtube.com/watch?v=YWtnnGVxLOA"/>
        <s v="https://www.youtube.com/watch?v=ip_vWNyLj5w"/>
        <s v="https://www.youtube.com/watch?v=P_CcIGUxyK8"/>
        <s v="https://www.youtube.com/watch?v=2xk96FcuwtU"/>
        <s v="https://www.youtube.com/watch?v=pNOPlcJXfS0"/>
        <s v="https://www.youtube.com/watch?v=BvZDMHhcmcY"/>
        <s v="https://www.youtube.com/watch?v=Ogzc20m5rhU"/>
        <s v="https://www.youtube.com/watch?v=Euefcm_2ZOE"/>
        <s v="https://www.youtube.com/watch?v=kIacke9mYbY"/>
        <s v="https://www.youtube.com/watch?v=rMlPcKzPZZY"/>
        <s v="https://www.youtube.com/watch?v=R_D3RHyHhpM"/>
        <s v="https://www.youtube.com/watch?v=RyI5f-EBc4c"/>
        <s v="https://www.youtube.com/watch?v=qjAhOvkzFlQ"/>
        <s v="https://www.youtube.com/watch?v=qUO-KMPShNw"/>
        <s v="https://www.youtube.com/watch?v=V_1PBDemtME"/>
        <s v="https://www.youtube.com/watch?v=2ZBZDGDDt4I"/>
        <s v="https://www.youtube.com/watch?v=N1LNvbTEbsQ"/>
        <s v="https://www.youtube.com/watch?v=BXI_odxl-hE"/>
        <s v="https://www.youtube.com/watch?v=dNeCiS0T-1U"/>
        <s v="https://www.youtube.com/watch?v=jRw-YFeiiRA"/>
        <s v="https://www.youtube.com/watch?v=msg3FMVw_-s"/>
        <s v="https://www.youtube.com/watch?v=ivHLaKG38qw"/>
        <s v="https://www.youtube.com/watch?v=NEtMwz2WIk4"/>
        <s v="https://www.youtube.com/watch?v=RiOP0YajFFg"/>
        <s v="https://www.youtube.com/watch?v=nePjL1PDhHk"/>
        <s v="https://www.youtube.com/watch?v=myyI-Wpp_kg"/>
        <s v="https://www.youtube.com/watch?v=D5iG6EiiVkc"/>
        <s v="https://www.youtube.com/watch?v=54u9wuZMGCE"/>
        <s v="https://www.youtube.com/watch?v=GAfbM5gONHc"/>
        <s v="https://www.youtube.com/watch?v=KCQpbZA84yU"/>
        <s v="https://www.youtube.com/watch?v=bpXWTPa-erk"/>
        <s v="https://www.youtube.com/watch?v=tuSsHT-YHec"/>
        <s v="https://www.youtube.com/watch?v=ISTy-WcJfWE"/>
        <s v="https://www.youtube.com/watch?v=JdgXt4saeZU"/>
        <s v="https://www.youtube.com/watch?v=Lm1o1yWSENk"/>
        <s v="https://www.youtube.com/watch?v=PNzMVq3sHa8"/>
        <s v="https://www.youtube.com/watch?v=bi3Ij1SBBtk"/>
        <s v="https://www.youtube.com/watch?v=PHVuCaDABec"/>
        <s v="https://www.youtube.com/watch?v=5Ab2AMWEEzU"/>
        <s v="https://www.youtube.com/watch?v=beNUQunShgs"/>
        <s v="https://www.youtube.com/watch?v=8_oX0nzRlkI"/>
        <s v="https://www.youtube.com/watch?v=mYSAPVe1L1s"/>
        <s v="https://www.youtube.com/watch?v=AKJLln-sxxI"/>
        <s v="https://www.youtube.com/watch?v=eAI2Hq1JQzQ"/>
        <s v="https://www.youtube.com/watch?v=bYipeVuTN7U"/>
        <s v="https://www.youtube.com/watch?v=DQacRlsZDo0"/>
        <s v="https://www.youtube.com/watch?v=gypy5ofHU2A"/>
        <s v="https://www.youtube.com/watch?v=ksv1_Otcp6w"/>
        <s v="https://www.youtube.com/watch?v=Za2O6B4mIik"/>
        <s v="https://www.youtube.com/watch?v=Z3ExCCG7SU0"/>
        <s v="https://www.youtube.com/watch?v=GKy4FwdXGCU"/>
        <s v="https://www.youtube.com/watch?v=3Cr54ye0FZ0"/>
        <s v="https://www.youtube.com/watch?v=wjQMnMBsEgI"/>
        <s v="https://www.youtube.com/watch?v=UN1FNFq_R5c"/>
        <s v="https://www.youtube.com/watch?v=PnXT0BCUF4M"/>
        <s v="https://www.youtube.com/watch?v=GdE5gY6nt9E"/>
        <s v="https://www.youtube.com/watch?v=0pF6so9kgog"/>
        <s v="https://www.youtube.com/watch?v=675_QDc5eUw"/>
        <s v="https://www.youtube.com/watch?v=Zk6L_D2cMO8"/>
        <s v="https://www.youtube.com/watch?v=CYuVrI_LLB4"/>
        <s v="https://www.youtube.com/watch?v=W9xDft3OqCE"/>
        <s v="https://www.youtube.com/watch?v=pF42AWtabFI"/>
        <s v="https://www.youtube.com/watch?v=swDyLizs2jA"/>
        <s v="https://www.youtube.com/watch?v=nVLUy28FFa4"/>
        <s v="https://www.youtube.com/watch?v=o4NbCAR5yHE"/>
        <s v="https://www.youtube.com/watch?v=HWJV5TiGxB4"/>
        <s v="https://www.youtube.com/watch?v=Mi2DWlR-rP0"/>
        <s v="https://www.youtube.com/watch?v=hIZXQaumC7Y"/>
        <s v="https://www.youtube.com/watch?v=hCdUIzh9ymM"/>
        <s v="https://www.youtube.com/watch?v=28FwoKVKxI0"/>
        <s v="https://www.youtube.com/watch?v=yrmJE08FPoc"/>
        <s v="https://www.youtube.com/watch?v=2j-kB2H37yM"/>
        <s v="https://www.youtube.com/watch?v=wP8_LAkDy24"/>
        <s v="https://www.youtube.com/watch?v=IlHrXTwR1Bw"/>
        <s v="https://www.youtube.com/watch?v=PiLQA38vPX8"/>
        <s v="https://www.youtube.com/watch?v=xKlik1dnVGg"/>
        <s v="https://www.youtube.com/watch?v=kxqJ4Jl96aw"/>
        <s v="https://www.youtube.com/watch?v=XB4WdG3U06o"/>
        <s v="https://www.youtube.com/watch?v=tBBWBWaNoqk"/>
        <s v="https://www.youtube.com/watch?v=ArzvzkUEyU8"/>
        <s v="https://www.youtube.com/watch?v=IZ4ytcFBCKg"/>
        <s v="https://www.youtube.com/watch?v=W6s6kqIDZ1c"/>
        <s v="https://www.youtube.com/watch?v=fdYFru-2Znk"/>
        <s v="https://www.youtube.com/watch?v=RYRdDXa6TTw"/>
        <s v="https://www.youtube.com/watch?v=6Zk2OiIpZxI"/>
        <s v="https://www.youtube.com/watch?v=QpPZvExtk7E"/>
        <s v="https://www.youtube.com/watch?v=JlpI_Nz9WWo"/>
        <s v="https://www.youtube.com/watch?v=L0Pl2m_1phM"/>
        <s v="https://www.youtube.com/watch?v=qLgfySlqtYA"/>
        <s v="https://www.youtube.com/watch?v=vKapxhZCRUk"/>
        <s v="https://www.youtube.com/watch?v=GUFFJRmtw5M"/>
        <s v="https://www.youtube.com/watch?v=wPqEeSSf57s"/>
        <s v="https://www.youtube.com/watch?v=t4HZodqK7_g"/>
        <s v="https://www.youtube.com/watch?v=3Z1aruvDe9g"/>
        <s v="https://www.youtube.com/watch?v=waDV4lb1qlY"/>
        <s v="https://www.youtube.com/watch?v=mNuEHJNcHC8"/>
        <s v="https://www.youtube.com/watch?v=THvnWpOZE8Q"/>
        <s v="https://www.youtube.com/watch?v=cqVp4vbPR7Y"/>
        <s v="https://www.youtube.com/watch?v=XmRHFN1MbmU"/>
        <s v="https://www.youtube.com/watch?v=yE7JmUaTzH8"/>
        <s v="https://www.youtube.com/watch?v=etENnpC9Bm0"/>
        <s v="https://www.youtube.com/watch?v=bTDgYEnilto"/>
        <s v="https://www.youtube.com/watch?v=TEH7wh0VyrU"/>
        <s v="https://www.youtube.com/watch?v=s6ZmGksZoEI"/>
        <s v="https://www.youtube.com/watch?v=7UtOQeACGQ0"/>
        <s v="https://www.youtube.com/watch?v=pFU7YBz9kVw"/>
        <s v="https://www.youtube.com/watch?v=ZlDUqiSyozU"/>
        <s v="https://www.youtube.com/watch?v=CVL_pYrkRpg"/>
        <s v="https://www.youtube.com/watch?v=D8XBAo6YjKs"/>
        <s v="https://www.youtube.com/watch?v=8l9DaiofDlA"/>
        <s v="https://www.youtube.com/watch?v=u9RIpN9ggvw"/>
        <s v="https://www.youtube.com/watch?v=cNX1uBhBTrY"/>
        <s v="https://www.youtube.com/watch?v=YMrp5PFVvCQ"/>
        <s v="https://www.youtube.com/watch?v=SO1PEL52H2k"/>
        <s v="https://www.youtube.com/watch?v=-DGQrvMgyIo"/>
        <s v="https://www.youtube.com/watch?v=82xNJb5LPhg"/>
        <s v="https://www.youtube.com/watch?v=P-3fNHODjMU"/>
        <s v="https://www.youtube.com/watch?v=H0OYZ7UZ6R4"/>
        <s v="https://www.youtube.com/watch?v=Fi_-l3FHl9A"/>
        <s v="https://www.youtube.com/watch?v=SCSVOHuHPU4"/>
        <s v="https://www.youtube.com/watch?v=cUH9Gl1eCBY"/>
        <s v="https://www.youtube.com/watch?v=w0MHBnIGTUQ"/>
        <s v="https://www.youtube.com/watch?v=MFEcaXFSa6I"/>
        <s v="https://www.youtube.com/watch?v=hvkclBKE4c0"/>
        <s v="https://www.youtube.com/watch?v=XtakSVxEbPc"/>
        <s v="https://www.youtube.com/watch?v=WUsMUmE-j1E"/>
        <s v="https://www.youtube.com/watch?v=6Cj8Ufssgnw"/>
        <s v="https://www.youtube.com/watch?v=IrjyPi8P-Ao"/>
        <s v="https://www.youtube.com/watch?v=2KtDhrDNFjs"/>
        <s v="https://www.youtube.com/watch?v=reujbgenfMo"/>
        <s v="https://www.youtube.com/watch?v=eRi6sTfpBHg"/>
        <s v="https://www.youtube.com/watch?v=t5lwfJB-s8g"/>
        <s v="https://www.youtube.com/watch?v=5GNLY5Y2Td0"/>
        <s v="https://www.youtube.com/watch?v=YaBrxDlp3SE"/>
        <s v="https://www.youtube.com/watch?v=LbS31EAzghQ"/>
        <s v="https://www.youtube.com/watch?v=2BK_s5PWdjU"/>
        <s v="https://www.youtube.com/watch?v=FWw4EmW0dWw"/>
        <s v="https://www.youtube.com/watch?v=tIdjgt-2IGw"/>
        <s v="https://www.youtube.com/watch?v=hVS6C_q00j8"/>
        <s v="https://www.youtube.com/watch?v=ofjnnEyDJF8"/>
        <s v="https://www.youtube.com/watch?v=hBtLBd9ZHvU"/>
        <s v="https://www.youtube.com/watch?v=6OgdWgWl2YQ"/>
        <s v="https://www.youtube.com/watch?v=ZV5p1TELQ04"/>
        <s v="https://www.youtube.com/watch?v=zS77gtbE8lI"/>
        <s v="https://www.youtube.com/watch?v=rzbGrEzL_nQ"/>
        <s v="https://www.youtube.com/watch?v=wmrqw8gVvCA"/>
        <s v="https://www.youtube.com/watch?v=dv8IJsq0TN0"/>
        <s v="https://www.youtube.com/watch?v=pDAPViwyp5o"/>
        <s v="https://www.youtube.com/watch?v=auJ6R8bVK_U"/>
        <s v="https://www.youtube.com/watch?v=rqZOmC0jlkQ"/>
        <s v="https://www.youtube.com/watch?v=__rK6F1JeUU"/>
        <s v="https://www.youtube.com/watch?v=19MGlD6T7LU"/>
        <s v="https://www.youtube.com/watch?v=nDPNsasP58s"/>
        <s v="https://www.youtube.com/watch?v=d1tHmwJ5uC4"/>
        <s v="https://www.youtube.com/watch?v=tiEBiFZxKsk"/>
        <s v="https://www.youtube.com/watch?v=FsiBlZ8yIQY"/>
        <s v="https://www.youtube.com/watch?v=XPODRrrALSc"/>
        <s v="https://www.youtube.com/watch?v=yKejpjUAk5E"/>
        <s v="https://www.youtube.com/watch?v=8XtD1RpcKZU"/>
        <s v="https://www.youtube.com/watch?v=tINHTSdwmVI"/>
        <s v="https://www.youtube.com/watch?v=ijK9CXJlKDw"/>
        <s v="https://www.youtube.com/watch?v=SQD4sKy_5ec"/>
        <s v="https://www.youtube.com/watch?v=GFJNR1gTGLY"/>
        <s v="https://www.youtube.com/watch?v=N7zakQpR0UQ"/>
        <s v="https://www.youtube.com/watch?v=7Qbu1cHmLQs"/>
        <s v="https://www.youtube.com/watch?v=uz911tvV8pQ"/>
        <s v="https://www.youtube.com/watch?v=DpSfQju9zVg"/>
        <s v="https://www.youtube.com/watch?v=Fjx33KpZ7YE"/>
        <s v="https://www.youtube.com/watch?v=zh5GCvNZzHU"/>
        <s v="https://www.youtube.com/watch?v=JULxOF9qL9c"/>
        <s v="https://www.youtube.com/watch?v=PF0rVD94h14"/>
        <s v="https://www.youtube.com/watch?v=f2VpAA-5dkg"/>
        <s v="https://www.youtube.com/watch?v=jnewsLAAEqs"/>
        <s v="https://www.youtube.com/watch?v=ZJLHTSbyOqM"/>
        <s v="https://www.youtube.com/watch?v=3dGaNNjmd8g"/>
        <s v="https://www.youtube.com/watch?v=_-HKyyBt9VQ"/>
        <s v="https://www.youtube.com/watch?v=qwAWJGTP55k"/>
        <s v="https://www.youtube.com/watch?v=YJJAt8p-f34"/>
        <s v="https://www.youtube.com/watch?v=tMkFFa-lbRY"/>
        <s v="https://www.youtube.com/watch?v=flVD-o7l_2U"/>
        <s v="https://www.youtube.com/watch?v=ianHLwZE2cw"/>
        <s v="https://www.youtube.com/watch?v=DeUtKzP97Ig"/>
        <s v="https://www.youtube.com/watch?v=8i9-kmQKkLE"/>
        <s v="https://www.youtube.com/watch?v=7Pft3aY1YA0"/>
        <s v="https://www.youtube.com/watch?v=tE7aoKmmJQk"/>
        <s v="https://www.youtube.com/watch?v=fKwaV10Nw-s"/>
        <s v="https://www.youtube.com/watch?v=TS7vqxYderc"/>
        <s v="https://www.youtube.com/watch?v=8-kYueD8SG0"/>
        <s v="https://www.youtube.com/watch?v=p_TMtU7uIaY"/>
        <s v="https://www.youtube.com/watch?v=-dHGy1omgO0"/>
        <s v="https://www.youtube.com/watch?v=SdQPksbHyw4"/>
        <s v="https://www.youtube.com/watch?v=QdHr34Ko_4M"/>
        <s v="https://www.youtube.com/watch?v=vlw4oSNUI1k"/>
        <s v="https://www.youtube.com/watch?v=Inq0I5n3gBU"/>
        <s v="https://www.youtube.com/watch?v=bVrj5udmgwo"/>
        <s v="https://www.youtube.com/watch?v=FwQztWw0VLU"/>
        <s v="https://www.youtube.com/watch?v=j5VMhBaYXqM"/>
        <s v="https://www.youtube.com/watch?v=Cn7TCKLsl24"/>
        <s v="https://www.youtube.com/watch?v=D1fbTn3ZlEo"/>
        <s v="https://www.youtube.com/watch?v=VNdfwuA9BSw"/>
        <s v="https://www.youtube.com/watch?v=7-SZRxh5Ikw"/>
        <s v="https://www.youtube.com/watch?v=JWVJ1J7-MVU"/>
        <s v="https://www.youtube.com/watch?v=TjVMelbJ0-M"/>
        <s v="https://www.youtube.com/watch?v=nHtZng3AGl4"/>
        <s v="https://www.youtube.com/watch?v=tQKqIeTnTn8"/>
        <s v="https://www.youtube.com/watch?v=8V-F8s4knMY"/>
        <s v="https://www.youtube.com/watch?v=3t6tisQ3Yrk"/>
        <s v="https://www.youtube.com/watch?v=geSZf8qVcLM"/>
        <s v="https://www.youtube.com/watch?v=FQgc8SBQJns"/>
        <s v="https://www.youtube.com/watch?v=8tzM8lrmN9o"/>
        <s v="https://www.youtube.com/watch?v=Y5kduUrtFK0"/>
        <s v="https://www.youtube.com/watch?v=lXC0dbmEaW8"/>
        <s v="https://www.youtube.com/watch?v=5-QB5Fg9f8I"/>
        <s v="https://www.youtube.com/watch?v=bm09ZP-LY20"/>
        <s v="https://www.youtube.com/watch?v=A0fvgwxNh2Y"/>
        <s v="https://www.youtube.com/watch?v=y7Jg6vLkNSU"/>
        <s v="https://www.youtube.com/watch?v=-mHuZaU9dg4"/>
        <s v="https://www.youtube.com/watch?v=jpSuL17ZTnM"/>
        <s v="https://www.youtube.com/watch?v=OhcSjEYeNxA"/>
        <s v="https://www.youtube.com/watch?v=UEcMz14481k"/>
        <s v="https://www.youtube.com/watch?v=SO_zYcHECYQ"/>
        <s v="https://www.youtube.com/watch?v=vPTt6z0Muqk"/>
        <s v="https://www.youtube.com/watch?v=yVlFF0ckVXY"/>
        <s v="https://www.youtube.com/watch?v=Hi2jc2iH0fA"/>
        <s v="https://www.youtube.com/watch?v=XEXadVFPK3k"/>
        <s v="https://www.youtube.com/watch?v=jGcJRbB-7gg"/>
        <s v="https://www.youtube.com/watch?v=mtud6N89uSs"/>
        <s v="https://www.youtube.com/watch?v=Mz-EbcUN3N0"/>
        <s v="https://www.youtube.com/watch?v=L077kJVZI5w"/>
        <s v="https://www.youtube.com/watch?v=vyQMvszU-7M"/>
        <s v="https://www.youtube.com/watch?v=AZqudV39rMw"/>
        <s v="https://www.youtube.com/watch?v=U-SPGk4KIPE"/>
        <s v="https://www.youtube.com/watch?v=s0imnGs3JrQ"/>
        <s v="https://www.youtube.com/watch?v=z9OO2y0bUD8"/>
        <s v="https://www.youtube.com/watch?v=5SMxHDj9Ux4"/>
        <s v="https://www.youtube.com/watch?v=RiXl8SHrXaU"/>
        <s v="https://www.youtube.com/watch?v=Q1mr-SsjcJ8"/>
        <s v="https://www.youtube.com/watch?v=AmS6Kr-4G48"/>
        <s v="https://www.youtube.com/watch?v=1LVv3uj3hPo"/>
        <s v="https://www.youtube.com/watch?v=GN2n73TtNtw"/>
        <s v="https://www.youtube.com/watch?v=mTOv_miz0UU"/>
        <s v="https://www.youtube.com/watch?v=v0jNDYjOrs4"/>
        <s v="https://www.youtube.com/watch?v=1tZ2dzWjFxI"/>
        <s v="https://www.youtube.com/watch?v=eeuetQa67Os"/>
        <s v="https://www.youtube.com/watch?v=4Fqq_N_0woM"/>
        <s v="https://www.youtube.com/watch?v=SPHhPDR-Xl4"/>
        <s v="https://www.youtube.com/watch?v=iAO45RNkVgw"/>
        <s v="https://www.youtube.com/watch?v=Te33kVOpg78"/>
        <s v="https://www.youtube.com/watch?v=MtIJZTFrmf8"/>
        <s v="https://www.youtube.com/watch?v=AlFXQvlzLUg"/>
        <s v="https://www.youtube.com/watch?v=B5lZ-B05f88"/>
        <s v="https://www.youtube.com/watch?v=YClI9XqJALg"/>
        <s v="https://www.youtube.com/watch?v=W58JXVDqeEU"/>
        <s v="https://www.youtube.com/watch?v=5kUY3rmGSzc"/>
        <s v="https://www.youtube.com/watch?v=cps7sgxZc6c"/>
        <s v="https://www.youtube.com/watch?v=f0jOosRhu_c"/>
        <s v="https://www.youtube.com/watch?v=Oy35fu4qdPI"/>
        <s v="https://www.youtube.com/watch?v=0gNgYpnOLes"/>
        <s v="https://www.youtube.com/watch?v=KO2pX_J1-Ww"/>
        <s v="https://www.youtube.com/watch?v=AFf0wjiREkw"/>
        <s v="https://www.youtube.com/watch?v=nzmOmkFYHDA"/>
        <s v="https://www.youtube.com/watch?v=VnDyf9Syuk4"/>
        <s v="https://www.youtube.com/watch?v=jPEUiAFpD9c"/>
        <s v="https://www.youtube.com/watch?v=SuuSKsDd2I8"/>
        <s v="https://www.youtube.com/watch?v=gqRxK4BcMKE"/>
        <s v="https://www.youtube.com/watch?v=dztBf1qcb_k"/>
        <s v="https://www.youtube.com/watch?v=cNltvnJJsGU"/>
        <s v="https://www.youtube.com/watch?v=2bNPu_RtBuw"/>
        <s v="https://www.youtube.com/watch?v=rdVa_j_sy0w"/>
        <s v="https://www.youtube.com/watch?v=gOiXpNly2hM"/>
        <s v="https://www.youtube.com/watch?v=58iVdN4MDzI"/>
        <s v="https://www.youtube.com/watch?v=wA1MoHlPUYw"/>
        <s v="https://www.youtube.com/watch?v=O2lpLScD2wM"/>
        <s v="https://www.youtube.com/watch?v=Zyurx6vIBtw"/>
        <s v="https://www.youtube.com/watch?v=WdnARgSgQQ0"/>
        <s v="https://www.youtube.com/watch?v=N2X30cyhuTk"/>
        <s v="https://www.youtube.com/watch?v=rxPqkkBZlLU"/>
        <s v="https://www.youtube.com/watch?v=in3PiToXwXE"/>
        <s v="https://www.youtube.com/watch?v=oEXdC9w_cjs"/>
        <s v="https://www.youtube.com/watch?v=7dC-Xox0YFA"/>
        <s v="https://www.youtube.com/watch?v=nUcwCRPJkV4"/>
        <s v="https://www.youtube.com/watch?v=LA4xnaK61uI"/>
        <s v="https://www.youtube.com/watch?v=stG7z7GTzSA"/>
        <s v="https://www.youtube.com/watch?v=XxLz44wV9Yw"/>
        <s v="https://www.youtube.com/watch?v=ygsbwUkOdQg"/>
        <s v="https://www.youtube.com/watch?v=FoMlYlm-USw"/>
        <s v="https://www.youtube.com/watch?v=ujrr26n9FDg"/>
        <s v="https://www.youtube.com/watch?v=PN27werEovw"/>
        <s v="https://www.youtube.com/watch?v=JLzdny1s7XE"/>
        <s v="https://www.youtube.com/watch?v=3Hkix-B7xGk"/>
        <s v="https://www.youtube.com/watch?v=s1_HpGc-NiU"/>
        <s v="https://www.youtube.com/watch?v=oe69m-RhiMU"/>
        <s v="https://www.youtube.com/watch?v=1uVvagZEA0c"/>
        <s v="https://www.youtube.com/watch?v=wQu1VIo2Ia4"/>
        <s v="https://www.youtube.com/watch?v=IXbxQj9I5HI"/>
        <s v="https://www.youtube.com/watch?v=7fgqVN2I_jE"/>
        <s v="https://www.youtube.com/watch?v=jNof-YwpVeI"/>
        <s v="https://www.youtube.com/watch?v=9Z7BNW3159s"/>
        <s v="https://www.youtube.com/watch?v=29y1cRiluRo"/>
        <s v="https://www.youtube.com/watch?v=FN3Yhlvzdf8"/>
        <s v="https://www.youtube.com/watch?v=JKT4LEKoVBg"/>
        <s v="https://www.youtube.com/watch?v=vvUBFxQUa1U"/>
        <s v="https://www.youtube.com/watch?v=JOiXKbmxRrs"/>
        <s v="https://www.youtube.com/watch?v=SPqLuRZNsRM"/>
        <s v="https://www.youtube.com/watch?v=aO46QhB8B0Q"/>
        <s v="https://www.youtube.com/watch?v=k2sqB5RdxqY"/>
        <s v="https://www.youtube.com/watch?v=bx9KPgj4WiU"/>
        <s v="https://www.youtube.com/watch?v=vUNn2xrNc4s"/>
        <s v="https://www.youtube.com/watch?v=1-bvRKeuU8g"/>
        <s v="https://www.youtube.com/watch?v=a2GbC2uOMF4"/>
        <s v="https://www.youtube.com/watch?v=JkQ7PR7_RF8"/>
        <s v="https://www.youtube.com/watch?v=THVHPVcmzsg"/>
        <s v="https://www.youtube.com/watch?v=5hrWZFbhm3o"/>
        <s v="https://www.youtube.com/watch?v=I16k08qxGyc"/>
        <s v="https://www.youtube.com/watch?v=opwt6R66OIo"/>
        <s v="https://www.youtube.com/watch?v=n6esU5tIYiA"/>
        <s v="https://www.youtube.com/watch?v=d10c1QDT5Zk"/>
        <s v="https://www.youtube.com/watch?v=biOiFpvQikQ"/>
        <s v="https://www.youtube.com/watch?v=lHrg-_DGeto"/>
        <s v="https://www.youtube.com/watch?v=hdgjl62kSlY"/>
        <s v="https://www.youtube.com/watch?v=S7-FwV8U56c"/>
        <s v="https://www.youtube.com/watch?v=B2xQTC4ff8A"/>
        <s v="https://www.youtube.com/watch?v=rVjGVQMBhOI"/>
        <s v="https://www.youtube.com/watch?v=kQ_uzTWCxTY"/>
        <s v="https://www.youtube.com/watch?v=mewITWCEuYQ"/>
        <s v="https://www.youtube.com/watch?v=eo20sN2JZSo"/>
        <s v="https://www.youtube.com/watch?v=pd85tVv7ynk"/>
        <s v="https://www.youtube.com/watch?v=p8mcyRMpdQo"/>
        <s v="https://www.youtube.com/watch?v=I4yOlWK8yk0"/>
        <s v="https://www.youtube.com/watch?v=RJC-j3H6REU"/>
        <s v="https://www.youtube.com/watch?v=mRFEMktL-vQ"/>
        <s v="https://www.youtube.com/watch?v=xfuZj9U-dAY"/>
        <s v="https://www.youtube.com/watch?v=OrF2mFRNveU"/>
        <s v="https://www.youtube.com/watch?v=aYXqCTxU2oY"/>
        <s v="https://www.youtube.com/watch?v=y5qtUugsyxI"/>
        <s v="https://www.youtube.com/watch?v=cbHvaHFPXyo"/>
        <s v="https://www.youtube.com/watch?v=I5w8FTdNZ6c"/>
        <s v="https://www.youtube.com/watch?v=Oulve6K3u7o"/>
        <s v="https://www.youtube.com/watch?v=1bLRgdUdQXc"/>
        <s v="https://www.youtube.com/watch?v=CzxoI3fIKac"/>
        <s v="https://www.youtube.com/watch?v=GinwzELoWqU"/>
        <s v="https://www.youtube.com/watch?v=db7QvHtM_WY"/>
        <s v="https://www.youtube.com/watch?v=XRtXHACXcyM"/>
        <s v="https://www.youtube.com/watch?v=LDqGf_NUrTQ"/>
        <s v="https://www.youtube.com/watch?v=JZo5ZtRMAU8"/>
        <s v="https://www.youtube.com/watch?v=CPsvv2c8n7Q"/>
        <s v="https://www.youtube.com/watch?v=k6ARCeU5nw8"/>
        <s v="https://www.youtube.com/watch?v=H6wAU3TovQg"/>
        <s v="https://www.youtube.com/watch?v=6T04APrcMuo"/>
        <s v="https://www.youtube.com/watch?v=bFmOurzbBqY"/>
        <s v="https://www.youtube.com/watch?v=dsn8qOlTqMs"/>
        <s v="https://www.youtube.com/watch?v=M2eESffQjbc"/>
        <s v="https://www.youtube.com/watch?v=rIXaco9q1PU"/>
        <s v="https://www.youtube.com/watch?v=w595pAY8kxo"/>
        <s v="https://www.youtube.com/watch?v=aaPfqdQCsXM"/>
        <s v="https://www.youtube.com/watch?v=Iw7iCnsTiJA"/>
        <s v="https://www.youtube.com/watch?v=t9-yU98geXI"/>
        <s v="https://www.youtube.com/watch?v=Lhbepmpfyt4"/>
        <s v="https://www.youtube.com/watch?v=fJJgKUw0CZc"/>
        <s v="https://www.youtube.com/watch?v=ByJ5cfSqWww"/>
        <s v="https://www.youtube.com/watch?v=0hT7FDjP_Sw"/>
        <s v="https://www.youtube.com/watch?v=veO9LT5eDXI"/>
        <s v="https://www.youtube.com/watch?v=7dZcbglSEN8"/>
        <s v="https://www.youtube.com/watch?v=UaQdmqK7SG4"/>
        <s v="https://www.youtube.com/watch?v=QMm4cQS9DcQ"/>
        <s v="https://www.youtube.com/watch?v=dWi6WCx2moc"/>
        <s v="https://www.youtube.com/watch?v=ChXClEkaL2U"/>
        <s v="https://www.youtube.com/watch?v=9Su8zKCCKDM"/>
        <s v="https://www.youtube.com/watch?v=BxgmoqKcFWM"/>
        <s v="https://www.youtube.com/watch?v=9pzwxxs8IQc"/>
        <s v="https://www.youtube.com/watch?v=BRzUwtmWS4w"/>
        <s v="https://www.youtube.com/watch?v=UWC0PW7vEAg"/>
        <s v="https://www.youtube.com/watch?v=v6sxePWDhR4"/>
        <s v="https://www.youtube.com/watch?v=dW78olRrreQ"/>
        <s v="https://www.youtube.com/watch?v=FzGFKPv_56M"/>
        <s v="https://www.youtube.com/watch?v=yAsO_jBfplI"/>
        <s v="https://www.youtube.com/watch?v=DhVvodHNVUE"/>
        <s v="https://www.youtube.com/watch?v=3OzpptG23UU"/>
        <s v="https://www.youtube.com/watch?v=tIXbZj3YwKM"/>
        <s v="https://www.youtube.com/watch?v=P66EsXw8xiY"/>
        <s v="https://www.youtube.com/watch?v=g2QDMqKORhA"/>
        <s v="https://www.youtube.com/watch?v=4iBNHKGd4mU"/>
        <s v="https://www.youtube.com/watch?v=tvZ4y1W-HNc"/>
        <s v="https://www.youtube.com/watch?v=iDQUjJWJWYc"/>
        <s v="https://www.youtube.com/watch?v=e5PdHZyaAyQ"/>
        <s v="https://www.youtube.com/watch?v=TV2wu1kJjq8"/>
        <s v="https://www.youtube.com/watch?v=WgqMCd93X0k"/>
        <s v="https://www.youtube.com/watch?v=Ytevg-kl2-Y"/>
        <s v="https://www.youtube.com/watch?v=-yUjnkxu_UU"/>
        <s v="https://www.youtube.com/watch?v=_5HE5ZQq_OM"/>
        <s v="https://www.youtube.com/watch?v=BWCDwBbsvtk"/>
        <s v="https://www.youtube.com/watch?v=L5u-aiaESuA"/>
        <s v="https://www.youtube.com/watch?v=sWYnEk4tDXI"/>
        <s v="https://www.youtube.com/watch?v=bMc34ZA8Cs4"/>
        <s v="https://www.youtube.com/watch?v=w-3fKE1taf0"/>
        <s v="https://www.youtube.com/watch?v=4R0fzyDVdLk"/>
        <s v="https://www.youtube.com/watch?v=ggDetYPpjEo"/>
        <s v="https://www.youtube.com/watch?v=zpLvii6WPxo"/>
        <s v="https://www.youtube.com/watch?v=Xssm5v6UP-8"/>
        <s v="https://www.youtube.com/watch?v=7g-FbW-O4Ck"/>
        <s v="https://www.youtube.com/watch?v=hRjMG3fGbB4"/>
        <s v="https://www.youtube.com/watch?v=6tRfahNGXjk"/>
        <s v="https://www.youtube.com/watch?v=YWL9boCbFRM"/>
        <s v="https://www.youtube.com/watch?v=zjHR1CqUi4g"/>
        <s v="https://www.youtube.com/watch?v=7-nmaP8cZR4"/>
        <s v="https://www.youtube.com/watch?v=z-OveH_zgeA"/>
        <s v="https://www.youtube.com/watch?v=r01O9GIX89w"/>
        <s v="https://www.youtube.com/watch?v=8VyLVpXETec"/>
        <s v="https://www.youtube.com/watch?v=tQZg9l3efBY"/>
        <s v="https://www.youtube.com/watch?v=z4ELHllsiAE"/>
        <s v="https://www.youtube.com/watch?v=NLeV745YkHc"/>
        <s v="https://www.youtube.com/watch?v=1aqC5pFhACo"/>
        <s v="https://www.youtube.com/watch?v=wSWgwcAkI-s"/>
        <s v="https://www.youtube.com/watch?v=4OKcemAz8Rg"/>
        <s v="https://www.youtube.com/watch?v=zWwR3uOmg3k"/>
        <s v="https://www.youtube.com/watch?v=QAsgzPBrHao"/>
        <s v="https://www.youtube.com/watch?v=vEs5u4LD0JA"/>
        <s v="https://www.youtube.com/watch?v=D7mfonU3-38"/>
        <s v="https://www.youtube.com/watch?v=MvS2I6pmuJc"/>
        <s v="https://www.youtube.com/watch?v=e3yCI94YOV0"/>
        <s v="https://www.youtube.com/watch?v=YZl-VS6sO7I"/>
        <s v="https://www.youtube.com/watch?v=GplIt6OO47g"/>
        <s v="https://www.youtube.com/watch?v=LAOHRyZQnT8"/>
        <s v="https://www.youtube.com/watch?v=j0230PstIm4"/>
        <s v="https://www.youtube.com/watch?v=skreoWiQStU"/>
        <s v="https://www.youtube.com/watch?v=OEOt03vFZtQ"/>
        <s v="https://www.youtube.com/watch?v=GcRDYHzixfw"/>
        <s v="https://www.youtube.com/watch?v=TCSv0oVeJIM"/>
        <s v="https://www.youtube.com/watch?v=6KgpGfwU0ZQ"/>
        <s v="https://www.youtube.com/watch?v=xX4E5KK92w4"/>
        <s v="https://www.youtube.com/watch?v=7FO5FwzJ5h8"/>
        <s v="https://www.youtube.com/watch?v=IiCLzJuO2bw"/>
        <s v="https://www.youtube.com/watch?v=N2OpYlwvRrg"/>
        <s v="https://www.youtube.com/watch?v=9kIDf5v8cNQ"/>
        <s v="https://www.youtube.com/watch?v=22CirRVmTiU"/>
        <s v="https://www.youtube.com/watch?v=PhzPoVmqHT8"/>
        <s v="https://www.youtube.com/watch?v=0drajMOCVQ4"/>
        <s v="https://www.youtube.com/watch?v=tbwsauXU_4U"/>
        <s v="https://www.youtube.com/watch?v=uuvfCdyJync"/>
        <s v="https://www.youtube.com/watch?v=hFNSsKY0y4A"/>
        <s v="https://www.youtube.com/watch?v=9qIBLvXfTRE"/>
        <s v="https://www.youtube.com/watch?v=MHjmuTWm3WI"/>
        <s v="https://www.youtube.com/watch?v=3yLpC7Qo2JY"/>
        <s v="https://www.youtube.com/watch?v=vKQanMYxvpg"/>
        <s v="https://www.youtube.com/watch?v=kzY3UWU0XxA"/>
        <s v="https://www.youtube.com/watch?v=Zc4J0L6Wpzc"/>
        <s v="https://www.youtube.com/watch?v=dyincT4vq-Q"/>
        <s v="https://www.youtube.com/watch?v=vuCcdU33saY"/>
        <s v="https://www.youtube.com/watch?v=HcDIhco07hY"/>
        <s v="https://www.youtube.com/watch?v=B6HLSq3tZ6A"/>
        <s v="https://www.youtube.com/watch?v=sPaSg6bLP9E"/>
        <s v="https://www.youtube.com/watch?v=l8VDtXDatJA"/>
        <s v="https://www.youtube.com/watch?v=oGOEdNrVCMo"/>
        <s v="https://www.youtube.com/watch?v=bn_gVi1HOmY"/>
        <s v="https://www.youtube.com/watch?v=XzCmYlT_MI8"/>
        <s v="https://www.youtube.com/watch?v=UQrHP_BLgy8"/>
        <s v="https://www.youtube.com/watch?v=BqF9BPeexZY"/>
        <s v="https://www.youtube.com/watch?v=p2vf07qbBig"/>
        <s v="https://www.youtube.com/watch?v=IrAZsq9FsjQ"/>
        <s v="https://www.youtube.com/watch?v=nXO9XhykPmY"/>
        <s v="https://www.youtube.com/watch?v=aIisJQxCj5k"/>
        <s v="https://www.youtube.com/watch?v=13s9Ev8FO9M"/>
        <s v="https://www.youtube.com/watch?v=L8XnIlLGL1E"/>
        <s v="https://www.youtube.com/watch?v=ipQeKYrIshE"/>
        <s v="https://www.youtube.com/watch?v=AeGDnZHBhK8"/>
        <s v="https://www.youtube.com/watch?v=OowOxUtcnRE"/>
        <s v="https://www.youtube.com/watch?v=lyVq3yIfcO8"/>
        <s v="https://www.youtube.com/watch?v=GSf1kulhoIo"/>
        <s v="https://www.youtube.com/watch?v=mrmc1Pgo5s0"/>
        <s v="https://www.youtube.com/watch?v=JiDDPzB8Ays"/>
        <s v="https://www.youtube.com/watch?v=cQwC_cUM5mw"/>
        <s v="https://www.youtube.com/watch?v=sAFpVKDktLI"/>
        <s v="https://www.youtube.com/watch?v=bpTqR06v6vI"/>
        <s v="https://www.youtube.com/watch?v=bnxoV7dIThw"/>
        <s v="https://www.youtube.com/watch?v=b7c13BxH0RI"/>
        <s v="https://www.youtube.com/watch?v=L-Xc3kXNibw"/>
        <s v="https://www.youtube.com/watch?v=L5342QyvBeY"/>
        <s v="https://www.youtube.com/watch?v=Gvt29XV5AAI"/>
        <s v="https://www.youtube.com/watch?v=uB4op8XOCUE"/>
        <s v="https://www.youtube.com/watch?v=JYYpAFD1gN4"/>
        <s v="https://www.youtube.com/watch?v=nuaITRtNMY8"/>
        <s v="https://www.youtube.com/watch?v=G_fUXO5JIiA"/>
      </sharedItems>
    </cacheField>
    <cacheField name="ID" numFmtId="0">
      <sharedItems>
        <s v="fs3ymeu4S4o"/>
        <s v="g0cpD5zRIv0"/>
        <s v="w88cFKw4ZRg"/>
        <s v="aEFQJPAOEsY"/>
        <s v="NykmV3um238"/>
        <s v="ibols1RooE0"/>
        <s v="aiQvqjCcrxA"/>
        <s v="ybRdZNf7zHE"/>
        <s v="fcOl7-Py1xI"/>
        <s v="gJKLJUTdolU"/>
        <s v="IqvK_labGWQ"/>
        <s v="mDc-yBAgaEw"/>
        <s v="c0YDkmdzPc4"/>
        <s v="k7BMZUDotVQ"/>
        <s v="khIPES9yoTw"/>
        <s v="k8BD2xBEvz4"/>
        <s v="hnYzC8FoiFA"/>
        <s v="b-zm0a3Cvhw"/>
        <s v="rTn49xI-JYs"/>
        <s v="Sbrny5XDIkI"/>
        <s v="EBVgY2QhaZU"/>
        <s v="lYc32tH-yoA"/>
        <s v="Zs0JLjy633M"/>
        <s v="OpVV9WydImo"/>
        <s v="X4s8pEniu2Y"/>
        <s v="8YhXikBY9HQ"/>
        <s v="bF4GqcOHs48"/>
        <s v="pg9m0coQQ5I"/>
        <s v="QR4withfuvw"/>
        <s v="Qlu5GxPQXdE"/>
        <s v="ymvm3XKZMUA"/>
        <s v="sJV3H29KeS4"/>
        <s v="EbkLGDc73dQ"/>
        <s v="sK9stIl_2GQ"/>
        <s v="IFvYypVvHWU"/>
        <s v="Mch7O7n2kqc"/>
        <s v="rYzKmlLJJ90"/>
        <s v="jM2XmcDJ3cs"/>
        <s v="Vs3wSCv4gi8"/>
        <s v="64csqupvpGs"/>
        <s v="td3srID3mRE"/>
        <s v="0f057xsM2kQ"/>
        <s v="JiMp4B_HXbA"/>
        <s v="vV-vVs6pyr0"/>
        <s v="KKb60wveIb0"/>
        <s v="kPp0HRfwhSc"/>
        <s v="gccQH3dlaP4"/>
        <s v="li51R3ns5uI"/>
        <s v="bjTFZqbmzW4"/>
        <s v="U3bnYGwIMT8"/>
        <s v="n0qnVcweNV4"/>
        <s v="hbsi6U8T_dI"/>
        <s v="-eTI_o7yp0E"/>
        <s v="guJrJ59l5qY"/>
        <s v="kKU4UwpOsqk"/>
        <s v="IMyp_kHonus"/>
        <s v="_ZH5q7-Yiys"/>
        <s v="GO4HC4Yr0VQ"/>
        <s v="y0JB1BiE7Ig"/>
        <s v="XlryGjTWQjk"/>
        <s v="TmT9Gd7gzlw"/>
        <s v="uP5VreGrCW0"/>
        <s v="JbV8FpZVqxA"/>
        <s v="J8pqOmjuZOs"/>
        <s v="vKJQAN4FyMA"/>
        <s v="lEN7Dxt0hu8"/>
        <s v="yORQfR-X4Uo"/>
        <s v="cqXZ008X-4s"/>
        <s v="9u0ux6ezzpc"/>
        <s v="EEw2wU8Gyl0"/>
        <s v="4FXEyorIAHA"/>
        <s v="UnA3upqGVMI"/>
        <s v="qrx0yO_l9nQ"/>
        <s v="9N8bAMfYzTo"/>
        <s v="Cbm2zCGczXU"/>
        <s v="-SQixn7dBsI"/>
        <s v="6_TdKtAs0vs"/>
        <s v="WxNgfTxCyw0"/>
        <s v="MWSll2gn764"/>
        <s v="1D49iAS_pgk"/>
        <s v="wLqX6oX06QU"/>
        <s v="W5dpld02JaQ"/>
        <s v="ayyD4Gn8dO0"/>
        <s v="lGhHKmHOP1A"/>
        <s v="bqTTLp6tl70"/>
        <s v="o6Oc80s0-yc"/>
        <s v="gP6ZGj90hgo"/>
        <s v="b8jDVM1CQD8"/>
        <s v="yulWi_0y5A4"/>
        <s v="rjl5aF6kESM"/>
        <s v="mRQBZVPK660"/>
        <s v="GHVc0pRgjXQ"/>
        <s v="5RKpukhayDM"/>
        <s v="O9bUjAaLygY"/>
        <s v="GP0zpFZk7Sw"/>
        <s v="kisztCOoq7g"/>
        <s v="q3iOD1yem04"/>
        <s v="_JGSV_hcOVo"/>
        <s v="iOMGQnFxBQo"/>
        <s v="A0BGtayaX9Y"/>
        <s v="u7Ek1KYAAbE"/>
        <s v="YWtnnGVxLOA"/>
        <s v="ip_vWNyLj5w"/>
        <s v="P_CcIGUxyK8"/>
        <s v="2xk96FcuwtU"/>
        <s v="pNOPlcJXfS0"/>
        <s v="BvZDMHhcmcY"/>
        <s v="Ogzc20m5rhU"/>
        <s v="Euefcm_2ZOE"/>
        <s v="kIacke9mYbY"/>
        <s v="rMlPcKzPZZY"/>
        <s v="R_D3RHyHhpM"/>
        <s v="RyI5f-EBc4c"/>
        <s v="qjAhOvkzFlQ"/>
        <s v="qUO-KMPShNw"/>
        <s v="V_1PBDemtME"/>
        <s v="2ZBZDGDDt4I"/>
        <s v="N1LNvbTEbsQ"/>
        <s v="BXI_odxl-hE"/>
        <s v="dNeCiS0T-1U"/>
        <s v="jRw-YFeiiRA"/>
        <s v="msg3FMVw_-s"/>
        <s v="ivHLaKG38qw"/>
        <s v="NEtMwz2WIk4"/>
        <s v="RiOP0YajFFg"/>
        <s v="nePjL1PDhHk"/>
        <s v="myyI-Wpp_kg"/>
        <s v="D5iG6EiiVkc"/>
        <s v="54u9wuZMGCE"/>
        <s v="GAfbM5gONHc"/>
        <s v="KCQpbZA84yU"/>
        <s v="bpXWTPa-erk"/>
        <s v="tuSsHT-YHec"/>
        <s v="ISTy-WcJfWE"/>
        <s v="JdgXt4saeZU"/>
        <s v="Lm1o1yWSENk"/>
        <s v="PNzMVq3sHa8"/>
        <s v="bi3Ij1SBBtk"/>
        <s v="PHVuCaDABec"/>
        <s v="5Ab2AMWEEzU"/>
        <s v="beNUQunShgs"/>
        <s v="8_oX0nzRlkI"/>
        <s v="mYSAPVe1L1s"/>
        <s v="AKJLln-sxxI"/>
        <s v="eAI2Hq1JQzQ"/>
        <s v="bYipeVuTN7U"/>
        <s v="DQacRlsZDo0"/>
        <s v="gypy5ofHU2A"/>
        <s v="ksv1_Otcp6w"/>
        <s v="Za2O6B4mIik"/>
        <s v="Z3ExCCG7SU0"/>
        <s v="GKy4FwdXGCU"/>
        <s v="3Cr54ye0FZ0"/>
        <s v="wjQMnMBsEgI"/>
        <s v="UN1FNFq_R5c"/>
        <s v="PnXT0BCUF4M"/>
        <s v="GdE5gY6nt9E"/>
        <s v="0pF6so9kgog"/>
        <s v="675_QDc5eUw"/>
        <s v="Zk6L_D2cMO8"/>
        <s v="CYuVrI_LLB4"/>
        <s v="W9xDft3OqCE"/>
        <s v="pF42AWtabFI"/>
        <s v="swDyLizs2jA"/>
        <s v="nVLUy28FFa4"/>
        <s v="o4NbCAR5yHE"/>
        <s v="HWJV5TiGxB4"/>
        <s v="Mi2DWlR-rP0"/>
        <s v="hIZXQaumC7Y"/>
        <s v="hCdUIzh9ymM"/>
        <s v="28FwoKVKxI0"/>
        <s v="yrmJE08FPoc"/>
        <s v="2j-kB2H37yM"/>
        <s v="wP8_LAkDy24"/>
        <s v="IlHrXTwR1Bw"/>
        <s v="PiLQA38vPX8"/>
        <s v="xKlik1dnVGg"/>
        <s v="kxqJ4Jl96aw"/>
        <s v="XB4WdG3U06o"/>
        <s v="tBBWBWaNoqk"/>
        <s v="ArzvzkUEyU8"/>
        <s v="IZ4ytcFBCKg"/>
        <s v="W6s6kqIDZ1c"/>
        <s v="fdYFru-2Znk"/>
        <s v="RYRdDXa6TTw"/>
        <s v="6Zk2OiIpZxI"/>
        <s v="QpPZvExtk7E"/>
        <s v="JlpI_Nz9WWo"/>
        <s v="L0Pl2m_1phM"/>
        <s v="qLgfySlqtYA"/>
        <s v="vKapxhZCRUk"/>
        <s v="GUFFJRmtw5M"/>
        <s v="wPqEeSSf57s"/>
        <s v="t4HZodqK7_g"/>
        <s v="3Z1aruvDe9g"/>
        <s v="waDV4lb1qlY"/>
        <s v="mNuEHJNcHC8"/>
        <s v="THvnWpOZE8Q"/>
        <s v="cqVp4vbPR7Y"/>
        <s v="XmRHFN1MbmU"/>
        <s v="yE7JmUaTzH8"/>
        <s v="etENnpC9Bm0"/>
        <s v="bTDgYEnilto"/>
        <s v="TEH7wh0VyrU"/>
        <s v="s6ZmGksZoEI"/>
        <s v="7UtOQeACGQ0"/>
        <s v="pFU7YBz9kVw"/>
        <s v="ZlDUqiSyozU"/>
        <s v="CVL_pYrkRpg"/>
        <s v="D8XBAo6YjKs"/>
        <s v="8l9DaiofDlA"/>
        <s v="u9RIpN9ggvw"/>
        <s v="cNX1uBhBTrY"/>
        <s v="YMrp5PFVvCQ"/>
        <s v="SO1PEL52H2k"/>
        <s v="-DGQrvMgyIo"/>
        <s v="82xNJb5LPhg"/>
        <s v="P-3fNHODjMU"/>
        <s v="H0OYZ7UZ6R4"/>
        <s v="Fi_-l3FHl9A"/>
        <s v="SCSVOHuHPU4"/>
        <s v="cUH9Gl1eCBY"/>
        <s v="w0MHBnIGTUQ"/>
        <s v="MFEcaXFSa6I"/>
        <s v="hvkclBKE4c0"/>
        <s v="XtakSVxEbPc"/>
        <s v="WUsMUmE-j1E"/>
        <s v="6Cj8Ufssgnw"/>
        <s v="IrjyPi8P-Ao"/>
        <s v="2KtDhrDNFjs"/>
        <s v="reujbgenfMo"/>
        <s v="eRi6sTfpBHg"/>
        <s v="t5lwfJB-s8g"/>
        <s v="5GNLY5Y2Td0"/>
        <s v="YaBrxDlp3SE"/>
        <s v="LbS31EAzghQ"/>
        <s v="2BK_s5PWdjU"/>
        <s v="FWw4EmW0dWw"/>
        <s v="tIdjgt-2IGw"/>
        <s v="hVS6C_q00j8"/>
        <s v="ofjnnEyDJF8"/>
        <s v="hBtLBd9ZHvU"/>
        <s v="6OgdWgWl2YQ"/>
        <s v="ZV5p1TELQ04"/>
        <s v="zS77gtbE8lI"/>
        <s v="rzbGrEzL_nQ"/>
        <s v="wmrqw8gVvCA"/>
        <s v="dv8IJsq0TN0"/>
        <s v="pDAPViwyp5o"/>
        <s v="auJ6R8bVK_U"/>
        <s v="rqZOmC0jlkQ"/>
        <s v="__rK6F1JeUU"/>
        <s v="19MGlD6T7LU"/>
        <s v="nDPNsasP58s"/>
        <s v="d1tHmwJ5uC4"/>
        <s v="tiEBiFZxKsk"/>
        <s v="FsiBlZ8yIQY"/>
        <s v="XPODRrrALSc"/>
        <s v="yKejpjUAk5E"/>
        <s v="8XtD1RpcKZU"/>
        <s v="tINHTSdwmVI"/>
        <s v="ijK9CXJlKDw"/>
        <s v="SQD4sKy_5ec"/>
        <s v="GFJNR1gTGLY"/>
        <s v="N7zakQpR0UQ"/>
        <s v="7Qbu1cHmLQs"/>
        <s v="uz911tvV8pQ"/>
        <s v="DpSfQju9zVg"/>
        <s v="Fjx33KpZ7YE"/>
        <s v="zh5GCvNZzHU"/>
        <s v="JULxOF9qL9c"/>
        <s v="PF0rVD94h14"/>
        <s v="f2VpAA-5dkg"/>
        <s v="jnewsLAAEqs"/>
        <s v="ZJLHTSbyOqM"/>
        <s v="3dGaNNjmd8g"/>
        <s v="_-HKyyBt9VQ"/>
        <s v="qwAWJGTP55k"/>
        <s v="YJJAt8p-f34"/>
        <s v="tMkFFa-lbRY"/>
        <s v="flVD-o7l_2U"/>
        <s v="ianHLwZE2cw"/>
        <s v="DeUtKzP97Ig"/>
        <s v="8i9-kmQKkLE"/>
        <s v="7Pft3aY1YA0"/>
        <s v="tE7aoKmmJQk"/>
        <s v="fKwaV10Nw-s"/>
        <s v="TS7vqxYderc"/>
        <s v="8-kYueD8SG0"/>
        <s v="p_TMtU7uIaY"/>
        <s v="-dHGy1omgO0"/>
        <s v="SdQPksbHyw4"/>
        <s v="QdHr34Ko_4M"/>
        <s v="vlw4oSNUI1k"/>
        <s v="Inq0I5n3gBU"/>
        <s v="bVrj5udmgwo"/>
        <s v="FwQztWw0VLU"/>
        <s v="j5VMhBaYXqM"/>
        <s v="Cn7TCKLsl24"/>
        <s v="D1fbTn3ZlEo"/>
        <s v="VNdfwuA9BSw"/>
        <s v="7-SZRxh5Ikw"/>
        <s v="JWVJ1J7-MVU"/>
        <s v="TjVMelbJ0-M"/>
        <s v="nHtZng3AGl4"/>
        <s v="tQKqIeTnTn8"/>
        <s v="8V-F8s4knMY"/>
        <s v="3t6tisQ3Yrk"/>
        <s v="geSZf8qVcLM"/>
        <s v="FQgc8SBQJns"/>
        <s v="8tzM8lrmN9o"/>
        <s v="Y5kduUrtFK0"/>
        <s v="lXC0dbmEaW8"/>
        <s v="5-QB5Fg9f8I"/>
        <s v="bm09ZP-LY20"/>
        <s v="A0fvgwxNh2Y"/>
        <s v="y7Jg6vLkNSU"/>
        <s v="-mHuZaU9dg4"/>
        <s v="jpSuL17ZTnM"/>
        <s v="OhcSjEYeNxA"/>
        <s v="UEcMz14481k"/>
        <s v="SO_zYcHECYQ"/>
        <s v="vPTt6z0Muqk"/>
        <s v="yVlFF0ckVXY"/>
        <s v="Hi2jc2iH0fA"/>
        <s v="XEXadVFPK3k"/>
        <s v="jGcJRbB-7gg"/>
        <s v="mtud6N89uSs"/>
        <s v="Mz-EbcUN3N0"/>
        <s v="L077kJVZI5w"/>
        <s v="vyQMvszU-7M"/>
        <s v="AZqudV39rMw"/>
        <s v="U-SPGk4KIPE"/>
        <s v="s0imnGs3JrQ"/>
        <s v="z9OO2y0bUD8"/>
        <s v="5SMxHDj9Ux4"/>
        <s v="RiXl8SHrXaU"/>
        <s v="Q1mr-SsjcJ8"/>
        <s v="AmS6Kr-4G48"/>
        <s v="1LVv3uj3hPo"/>
        <s v="GN2n73TtNtw"/>
        <s v="mTOv_miz0UU"/>
        <s v="v0jNDYjOrs4"/>
        <s v="1tZ2dzWjFxI"/>
        <s v="eeuetQa67Os"/>
        <s v="4Fqq_N_0woM"/>
        <s v="SPHhPDR-Xl4"/>
        <s v="iAO45RNkVgw"/>
        <s v="Te33kVOpg78"/>
        <s v="MtIJZTFrmf8"/>
        <s v="AlFXQvlzLUg"/>
        <s v="B5lZ-B05f88"/>
        <s v="YClI9XqJALg"/>
        <s v="W58JXVDqeEU"/>
        <s v="5kUY3rmGSzc"/>
        <s v="cps7sgxZc6c"/>
        <s v="f0jOosRhu_c"/>
        <s v="Oy35fu4qdPI"/>
        <s v="0gNgYpnOLes"/>
        <s v="KO2pX_J1-Ww"/>
        <s v="AFf0wjiREkw"/>
        <s v="nzmOmkFYHDA"/>
        <s v="VnDyf9Syuk4"/>
        <s v="jPEUiAFpD9c"/>
        <s v="SuuSKsDd2I8"/>
        <s v="gqRxK4BcMKE"/>
        <s v="dztBf1qcb_k"/>
        <s v="cNltvnJJsGU"/>
        <s v="2bNPu_RtBuw"/>
        <s v="rdVa_j_sy0w"/>
        <s v="gOiXpNly2hM"/>
        <s v="58iVdN4MDzI"/>
        <s v="wA1MoHlPUYw"/>
        <s v="O2lpLScD2wM"/>
        <s v="Zyurx6vIBtw"/>
        <s v="WdnARgSgQQ0"/>
        <s v="N2X30cyhuTk"/>
        <s v="rxPqkkBZlLU"/>
        <s v="in3PiToXwXE"/>
        <s v="oEXdC9w_cjs"/>
        <s v="7dC-Xox0YFA"/>
        <s v="nUcwCRPJkV4"/>
        <s v="LA4xnaK61uI"/>
        <s v="stG7z7GTzSA"/>
        <s v="XxLz44wV9Yw"/>
        <s v="ygsbwUkOdQg"/>
        <s v="FoMlYlm-USw"/>
        <s v="ujrr26n9FDg"/>
        <s v="PN27werEovw"/>
        <s v="JLzdny1s7XE"/>
        <s v="3Hkix-B7xGk"/>
        <s v="s1_HpGc-NiU"/>
        <s v="oe69m-RhiMU"/>
        <s v="1uVvagZEA0c"/>
        <s v="wQu1VIo2Ia4"/>
        <s v="IXbxQj9I5HI"/>
        <s v="7fgqVN2I_jE"/>
        <s v="jNof-YwpVeI"/>
        <s v="9Z7BNW3159s"/>
        <s v="29y1cRiluRo"/>
        <s v="FN3Yhlvzdf8"/>
        <s v="JKT4LEKoVBg"/>
        <s v="vvUBFxQUa1U"/>
        <s v="JOiXKbmxRrs"/>
        <s v="SPqLuRZNsRM"/>
        <s v="aO46QhB8B0Q"/>
        <s v="k2sqB5RdxqY"/>
        <s v="bx9KPgj4WiU"/>
        <s v="vUNn2xrNc4s"/>
        <s v="1-bvRKeuU8g"/>
        <s v="a2GbC2uOMF4"/>
        <s v="JkQ7PR7_RF8"/>
        <s v="THVHPVcmzsg"/>
        <s v="5hrWZFbhm3o"/>
        <s v="I16k08qxGyc"/>
        <s v="opwt6R66OIo"/>
        <s v="n6esU5tIYiA"/>
        <s v="d10c1QDT5Zk"/>
        <s v="biOiFpvQikQ"/>
        <s v="lHrg-_DGeto"/>
        <s v="hdgjl62kSlY"/>
        <s v="S7-FwV8U56c"/>
        <s v="B2xQTC4ff8A"/>
        <s v="rVjGVQMBhOI"/>
        <s v="kQ_uzTWCxTY"/>
        <s v="mewITWCEuYQ"/>
        <s v="eo20sN2JZSo"/>
        <s v="pd85tVv7ynk"/>
        <s v="p8mcyRMpdQo"/>
        <s v="I4yOlWK8yk0"/>
        <s v="RJC-j3H6REU"/>
        <s v="mRFEMktL-vQ"/>
        <s v="xfuZj9U-dAY"/>
        <s v="OrF2mFRNveU"/>
        <s v="aYXqCTxU2oY"/>
        <s v="y5qtUugsyxI"/>
        <s v="cbHvaHFPXyo"/>
        <s v="I5w8FTdNZ6c"/>
        <s v="Oulve6K3u7o"/>
        <s v="1bLRgdUdQXc"/>
        <s v="CzxoI3fIKac"/>
        <s v="GinwzELoWqU"/>
        <s v="db7QvHtM_WY"/>
        <s v="XRtXHACXcyM"/>
        <s v="LDqGf_NUrTQ"/>
        <s v="JZo5ZtRMAU8"/>
        <s v="CPsvv2c8n7Q"/>
        <s v="k6ARCeU5nw8"/>
        <s v="H6wAU3TovQg"/>
        <s v="6T04APrcMuo"/>
        <s v="bFmOurzbBqY"/>
        <s v="dsn8qOlTqMs"/>
        <s v="M2eESffQjbc"/>
        <s v="rIXaco9q1PU"/>
        <s v="w595pAY8kxo"/>
        <s v="aaPfqdQCsXM"/>
        <s v="Iw7iCnsTiJA"/>
        <s v="t9-yU98geXI"/>
        <s v="Lhbepmpfyt4"/>
        <s v="fJJgKUw0CZc"/>
        <s v="ByJ5cfSqWww"/>
        <s v="0hT7FDjP_Sw"/>
        <s v="veO9LT5eDXI"/>
        <s v="7dZcbglSEN8"/>
        <s v="UaQdmqK7SG4"/>
        <s v="QMm4cQS9DcQ"/>
        <s v="dWi6WCx2moc"/>
        <s v="ChXClEkaL2U"/>
        <s v="9Su8zKCCKDM"/>
        <s v="BxgmoqKcFWM"/>
        <s v="9pzwxxs8IQc"/>
        <s v="BRzUwtmWS4w"/>
        <s v="UWC0PW7vEAg"/>
        <s v="v6sxePWDhR4"/>
        <s v="dW78olRrreQ"/>
        <s v="FzGFKPv_56M"/>
        <s v="yAsO_jBfplI"/>
        <s v="DhVvodHNVUE"/>
        <s v="3OzpptG23UU"/>
        <s v="tIXbZj3YwKM"/>
        <s v="P66EsXw8xiY"/>
        <s v="g2QDMqKORhA"/>
        <s v="4iBNHKGd4mU"/>
        <s v="tvZ4y1W-HNc"/>
        <s v="iDQUjJWJWYc"/>
        <s v="e5PdHZyaAyQ"/>
        <s v="TV2wu1kJjq8"/>
        <s v="WgqMCd93X0k"/>
        <s v="Ytevg-kl2-Y"/>
        <s v="-yUjnkxu_UU"/>
        <s v="_5HE5ZQq_OM"/>
        <s v="BWCDwBbsvtk"/>
        <s v="L5u-aiaESuA"/>
        <s v="sWYnEk4tDXI"/>
        <s v="bMc34ZA8Cs4"/>
        <s v="w-3fKE1taf0"/>
        <s v="4R0fzyDVdLk"/>
        <s v="ggDetYPpjEo"/>
        <s v="zpLvii6WPxo"/>
        <s v="Xssm5v6UP-8"/>
        <s v="7g-FbW-O4Ck"/>
        <s v="hRjMG3fGbB4"/>
        <s v="6tRfahNGXjk"/>
        <s v="YWL9boCbFRM"/>
        <s v="zjHR1CqUi4g"/>
        <s v="7-nmaP8cZR4"/>
        <s v="z-OveH_zgeA"/>
        <s v="r01O9GIX89w"/>
        <s v="8VyLVpXETec"/>
        <s v="tQZg9l3efBY"/>
        <s v="z4ELHllsiAE"/>
        <s v="NLeV745YkHc"/>
        <s v="1aqC5pFhACo"/>
        <s v="wSWgwcAkI-s"/>
        <s v="4OKcemAz8Rg"/>
        <s v="zWwR3uOmg3k"/>
        <s v="QAsgzPBrHao"/>
        <s v="vEs5u4LD0JA"/>
        <s v="D7mfonU3-38"/>
        <s v="MvS2I6pmuJc"/>
        <s v="e3yCI94YOV0"/>
        <s v="YZl-VS6sO7I"/>
        <s v="GplIt6OO47g"/>
        <s v="LAOHRyZQnT8"/>
        <s v="j0230PstIm4"/>
        <s v="skreoWiQStU"/>
        <s v="OEOt03vFZtQ"/>
        <s v="GcRDYHzixfw"/>
        <s v="TCSv0oVeJIM"/>
        <s v="6KgpGfwU0ZQ"/>
        <s v="xX4E5KK92w4"/>
        <s v="7FO5FwzJ5h8"/>
        <s v="IiCLzJuO2bw"/>
        <s v="N2OpYlwvRrg"/>
        <s v="9kIDf5v8cNQ"/>
        <s v="22CirRVmTiU"/>
        <s v="PhzPoVmqHT8"/>
        <s v="0drajMOCVQ4"/>
        <s v="tbwsauXU_4U"/>
        <s v="uuvfCdyJync"/>
        <s v="hFNSsKY0y4A"/>
        <s v="9qIBLvXfTRE"/>
        <s v="MHjmuTWm3WI"/>
        <s v="3yLpC7Qo2JY"/>
        <s v="vKQanMYxvpg"/>
        <s v="kzY3UWU0XxA"/>
        <s v="Zc4J0L6Wpzc"/>
        <s v="dyincT4vq-Q"/>
        <s v="vuCcdU33saY"/>
        <s v="HcDIhco07hY"/>
        <s v="B6HLSq3tZ6A"/>
        <s v="sPaSg6bLP9E"/>
        <s v="l8VDtXDatJA"/>
        <s v="oGOEdNrVCMo"/>
        <s v="bn_gVi1HOmY"/>
        <s v="XzCmYlT_MI8"/>
        <s v="UQrHP_BLgy8"/>
        <s v="BqF9BPeexZY"/>
        <s v="p2vf07qbBig"/>
        <s v="IrAZsq9FsjQ"/>
        <s v="nXO9XhykPmY"/>
        <s v="aIisJQxCj5k"/>
        <s v="13s9Ev8FO9M"/>
        <s v="L8XnIlLGL1E"/>
        <s v="ipQeKYrIshE"/>
        <s v="AeGDnZHBhK8"/>
        <s v="OowOxUtcnRE"/>
        <s v="lyVq3yIfcO8"/>
        <s v="GSf1kulhoIo"/>
        <s v="mrmc1Pgo5s0"/>
        <s v="JiDDPzB8Ays"/>
        <s v="cQwC_cUM5mw"/>
        <s v="sAFpVKDktLI"/>
        <s v="bpTqR06v6vI"/>
        <s v="bnxoV7dIThw"/>
        <s v="b7c13BxH0RI"/>
        <s v="L-Xc3kXNibw"/>
        <s v="L5342QyvBeY"/>
        <s v="Gvt29XV5AAI"/>
        <s v="uB4op8XOCUE"/>
        <s v="JYYpAFD1gN4"/>
        <s v="nuaITRtNMY8"/>
        <s v="G_fUXO5JIiA"/>
      </sharedItems>
    </cacheField>
    <cacheField name="Description" numFmtId="0">
      <sharedItems>
        <s v="In 2026, the right way to start trading isn’t chasing tips—it’s understanding your edge and building strong risk management.&#10;In this video, we break down what an edge actually means and how to measure it using expectancy (win rate, average win, and averag"/>
        <s v="In this video, we show you how to use Scalper Mode on Groww and walk you through all its key features. Learn how to trade directly from charts, and place stop-loss and target orders right on the chart for a smoother, faster, and more seamless trading expe"/>
        <s v="Souvik Das walks us through pairs trading, a classic market-neutral strategy that still holds strong in today’s markets.&#10;&#10;In this video, we cover:&#10;&#10;The core logic and intuition behind pairs trading&#10;The key risks you need to be aware of&#10;How to build and fu"/>
        <s v="In this episode of Breakfast with Traders, Praful Kulkarni interviews Raghav Malik, founder of AlgoTest, about systematic options trading.&#10;Raghav shares lessons from trading volatility during the 2008 financial crisis, explains the concept of volatility r"/>
        <s v="In this exclusive Stock Market India podcast, we dive deep into the ultimate trading debate: Algo Trading vs. Manual Trading. Join us as we uncover which trading strategy is best suited for conquering the Nifty 50 and managing volatility in the Indian mar"/>
        <s v="In this part of our Price Action series, we dive deep into Reversal Patterns and Bilateral Patterns used by successful traders in the stock market.&#10;&#10;In this comprehensive tutorial, we cover:&#10;✅ Head &amp; Shoulders Pattern &#10;✅ Inverse Head &amp; Shoulders&#10;✅ Double "/>
        <s v="Souvik Das walks us through Trend Following, an age-old and time-tested trading system, explaining why it remains relevant today. This video thoroughly highlights the key benefits that attract traders and the essential drawbacks that must be managed for s"/>
        <s v="Ever wondered who's on the other side of your trades? This Off the Charts episode takes you inside the world of market makers and HFT firms. Shreyans Jain, who spent 8 years at one of India's top prop trading firms, reveals how market makers keep spreads "/>
        <s v="Are you confused about when to buy options vs. sell options? In this video, we dive into the world of volatility trading using the powerful concepts of India VIX, Implied Volatility (IV), and Historical Volatility (HV).&#10;&#10;Most traders get the correlation w"/>
        <s v="Learn how to trade precious metals in the Indian commodity market! This video covers Gold and Silver futures and options contracts - from standard to mini variants.&#10;&#10;Understand lot sizes, margin requirements, liquidity analysis, and expiry cycles. Perfect"/>
        <s v="Are you tired of missing trades due to office meetings and FOMO? This video is for every busy trader! Algo trading is the future, offering systematic, fast, and emotion-free execution. We explain the challenges retail traders face with APIs and infrastruc"/>
        <s v="In this episode of Groww ki Pathshala, Chetan Panchamia breaks down the core of price action. This guide breaks down the essential continuation and consolidation chart patterns every trader needs to know.&#10;&#10;We cover:&#10;&#10;Chart Patterns 101: What they are and "/>
        <s v="In this comprehensive episode of &quot;Trading Ki Baat,&quot; host Arjun Tandon sits down with Sumit, a full-time trader with 15 years of experience, to decode the art of Ratio Trading in Options.&#10;&#10;Sumit shares a complete guide to ratio trading, covering how to bui"/>
        <s v="Ever wondered how oil, gold, or copper prices impact the stock market? 💡&#10;&#10;In this video, we simplify the commodities market. What it is, why it matters, and how it can give traders and investors an edge.&#10;Learn how global prices signal trends across indus"/>
        <s v="In this episode of Groww Ki Pathshala, Chetan Panchamia breaks down everything you need to know about Moving Averages and how to use them to take trades.&#10;&#10;He shares practical entry and exit points, stop-loss strategies, and shows you how to combine Moving"/>
        <s v="How is AI really being used in financial markets? We asked a pro to show us.&#10;&#10;Welcome to Episode 2 of Off the Charts! In this episode, Vaibhav Jain sits down with Souvik Das, a former banker turned full-time systematic trader, for a masterclass on automat"/>
        <s v="In this episode of Trading Ki Baat, Arjun Tandon is joined by Chintan Jaggi, a Founding Member of Algotest, for a masterclass on navigating the challenges of option buying.&#10;&#10;Chintan dives deep into:&#10;&#10;The main drawbacks and common pitfalls that cause most "/>
        <s v="In this video, Aseem Singhal breaks down everything you need to know about Natural Gas (NATGAS) — what it is, how it differs from NATGAS Mini, its tick size, and a practical trading strategy, including how to trade NATGAS options.&#10;&#10;Perfect for both beginn"/>
        <s v="Breakfast with Traders — Full Episode&#10;&#10;In this episode, we sit down with two seasoned traders from opposite ends of the spectrum: Sarang Sood and Pawan Arora.&#10;&#10;This is a deep, insightful conversation contrasting two different paths to success. Sarang Sood"/>
        <s v="This epsiode of Breakfast with Traders features Sarang Sood and Pawan Arora, hosted by Praful Kulkarni.&#10;&#10;It was deep dive – from directional plays to delta neutral setups.&#10;&#10;Stay tuned!&#10;&#10;About Groww&#10;&#10;Groww is India’s Best Investment App and the Largest Sto"/>
        <s v="It’s that special time of the year again — Muhurat Trading on Diwali 2025! 🪔&#10;In this video, we break down simple yet effective Muhurat Trading strategies you can use to make the most of this auspicious one-hour trading window.&#10;&#10;Timestamps: &#10;00:00 – Intro"/>
        <s v="In this video, Aseem breaks down everything you need to know about Crude Oil trading — from understanding what moves oil prices to mastering entry and exit criteria with a proven strategy. &#10;&#10;Whether you’re a beginner or looking to refine your trading edge"/>
        <s v="Candlestick Patterns Explained — Learn to Read the Market Like a Pro!&#10;&#10;In this video, we’ll break down the most important candlestick patterns every trader should know — from bullish to bearish to neutral signals.&#10;Whether you’re a beginner or an experienc"/>
        <s v="You can now trade Commodities on Groww!&#10;&#10;Trade in gold, silver, crude oil, natural gas, directly from the Groww app.&#10;&#10;What's New:&#10;Access to commodity markets (Gold, Silver, Natural Gas, and Crude Oil)&#10;Real-time price tracking&#10;Seamless trading experience&#10;E"/>
        <s v="In this video, Algo trader Aseem Singhal explains a simple volatility-based trading concept that was backtested.&#10;&#10;Core Idea (Backtested):&#10;&#10;If today’s volatility is greater than the past 14 days, then buy on a green candle or sell on a red candle, and exit"/>
        <s v="In this video, we explore whether market candles are truly independent of prior candles.  &#10;&#10;If you flip a coin and get five heads in a row, does that change the probability of the next flip being heads or tails? &#10;&#10;With this context in mind, we look at the"/>
        <s v="Welcome to the first episode of 'Off the Charts', a series that looks at trading in its entirety. We’ll dive into the forces, ideas, and stories that shape markets, unpack the complexities, and explore what it truly means to trade in a world that never st"/>
        <s v="If you’ve ever wondered how professional traders actually approach the markets, this video is for you. In this conversation, seasoned trader Rakesh Pujara walks us through the world of systematic trading — starting from the basics and gradually building u"/>
        <s v="In this video, Arjun sits down with Rajesh Sriwastava to break down how to adjust option strategies the right way. Rajesh explains a 10-leg options strategy and walks through multiple levels of adjustments — making it suitable for beginners, intermediate "/>
        <s v="In this excerpt from the Breakfast with Traders event, featuring Praful Kulkarni and Aditya Pachwaria at the latest, Praful answers 4 of the most important trading questions every trader faces:&#10;&#10;✅ How to recover from deep drawdowns&#10;✅ How to tackle a reven"/>
        <s v="In this video, traders who attended the Breakfast with Traders event had the opportunity to interact and get their questions answered by industry experts Harish Sharma and Praful Kulkarni. Some of the questions they asked might be the same ones you've bee"/>
        <s v="In this episode, Raghav Malik shares how institutions truly approach options trading. He breaks down what the real edge in trading is, and why luck may help in the short term, but only skill ensures success in the long run.&#10;&#10;Raghav emphasizes that retail "/>
        <s v="In this video, Arjun Tandon speaks with Saketh Ramakrishna, a young yet seasoned trader, about his shift from trading options to swing trading in equities. Saketh explains why he made this transition and shares actionable insights for traders looking to d"/>
        <s v="In this video, Aseem Singhal breaks down the key sectors impacted by recent GST reforms and explains, with examples, how these changes could influence the market.&#10;&#10;About Groww&#10;&#10;Groww is India’s Best Investment App and the Largest Stock Broker.&#10;&#10;Find us he"/>
        <s v="In this video, Aseem explains the Box Strategy — an arbitrage trading approach that combines two option spreads: a bull call spread and a bear put spread. This strategy helps traders capture pricing mismatches, and if executed at the right entry points, i"/>
        <s v="On August 10th, 2025, over 200 traders came together in Gurgaon for Breakfast with Traders — a live event designed to spark conversations, share experiences, and uncover real insights from the markets.&#10;&#10;In this video, you’ll witness an exclusive conversat"/>
        <s v="In this video, Souvik Das — a former banker with experience in the AI industry and now a systematic trader — shares how traders can leverage AI to enhance their trading strategies.&#10;&#10;He breaks down the benefits of using AI in trading, such as its ability t"/>
        <s v="Episode 3 | Groww ki Pathshala&#10;&#10;Arunima is back with veteran trader Chetan Panchamia to simplify one of the most important concepts in trading—trendlines.&#10;&#10;In this episode, they cover:&#10;Different types of trendlines and how to draw them&#10;The subjectivity vs"/>
        <s v="In this video, experienced trader Rakesh Pujara explains the 4 pillars of return generation in trading and how traders can maximize profits while managing risks.&#10;&#10;We dive deep into how returns are amplified through leverage — the most powerful but also th"/>
        <s v="In this video, we explain Groww’s Pledge Margin feature — a powerful tool that allows you to pledge your existing stock holdings and get margin for trading. This enables cashless trading, so you can trade without selling your investments.&#10;&#10;The Pledge Marg"/>
        <s v="In this video, professional trader Sunderji Jayabalan shares a complete breakdown of the Supertrend Indicator and how he applies it to positional trading setups.&#10;&#10;He begins by explaining the importance of technical indicators — while seasoned analysts can"/>
        <s v="In this video, seasoned trader Chetan Panchamia breaks down the foundations of charts in trading — perfect for beginners stepping into the markets in 2025!&#10;&#10;He explains the different types of charts used in technical analysis — line charts, bar charts, an"/>
        <s v="In this episode of Trading ki Baat, host Arjun Tandon is joined by expert trader Kaushhik Maall for a deep dive into price action and level based trading strategies — using a real-world case from mid-2024, when SEBI raised concerns over alleged manipulati"/>
        <s v="In this video, seasoned trader Arjun Tandon introduces the concept of time-based straddles—a systematic approach to trading where decisions are made based on fixed rules rather than guesses or predictions. Learn how entering trades at specific times like "/>
        <s v="Discover the best trades straight from the Breakfast with Traders series! In this episode, three experienced traders - Yogeeshwar, Shijumon and Kirubakaran share their best trades, breaking down the strategies, market setups, and key lessons behind each d"/>
        <s v="Welcome back to Breakfast with Traders, the exclusive series where passionate traders share their real-life stories, trading strategies, and market insights over an engaging morning session. Hosted by Praful Kulkarni, a mechanical engineer from NIT Surath"/>
        <s v="How to Sell Options Like a Hedge Fund | Options Trading for beginners&#10;&#10;Discover how Tanmay Kurtkoti simplifies systematic trading for beginners in this insightful video. Tanmay dissects option trading, urging viewers not to label themselves strictly as “o"/>
        <s v="Welcome to Groww Ki Pathshala – Episode 1, a beginner-friendly trading masterclass featuring Chetan Panchamia, where the fundamentals of financial markets are broken down in a simple and easy-to-understand way. Whether you are just starting your trading j"/>
        <s v="From starting with a ₹2 lakh debt to building a fortune through trading, Rakesh Pujara shares his incredible and inspiring journey.  @rakeshpujara1 &#10;&#10;With over 20 years of experience in the markets, Rakesh opens up about his humble beginnings and the mist"/>
        <s v="In part 10 of our API series, Arjun Tandon takes you through the process of using Groww APIs to access historical data.&#10;&#10;Whether you're looking for OHLC details (Open, High, Low, Close) for any specific timeframe—be it 1-minute, 5-minute, or daily data—th"/>
        <s v="In Part 9 of our API series, Arjun Tandon breaks down everything you need to know about accessing margin requirements using Groww's APIs. From checking the margin available in your account to calculating the margins required for single-leg and multi-leg o"/>
        <s v="Catch the full video here - https://youtu.be/6WPR8yvVqOo?si=ntgyKxMydzjbj0ct&#10;&#10;Timestamps:&#10;&#10;0:00 – Is manipulation happening in the markets?&#10;2:03 – With brokers offering algos, how will the markets change?&#10;3:40 – What motivated you to take additional risk?"/>
        <s v="In this video, Aseem Singhal breaks down the trading strategy that led to SEBI banning Jane Street from the Indian markets. He provides an in-depth analysis of the SEBI report, revealing how Jane Street manipulated the markets by buying underlying stocks "/>
        <s v="In Part 8 of our API series, Arjun demonstrates how to modify orders using APIs. He begins by explaining the process of order cancellation, followed by a step-by-step guide on how to modify existing orders. Learn how to easily adjust order type, quantity,"/>
        <s v="In this video, seasoned trader Aseem Singhal breaks down the concept of MTF (Margin Trading Facility) and shares one of his favorite strategies, which is a unique twist on the popular Supertrend indicator. Don’t miss out—watch now to learn more!&#10;&#10;About Gr"/>
        <s v="In this video, we break down pair trading step by step—explaining what it is, how to select the best stocks for pair trading, how to manage your positions, and when to close them. If you're looking to get started with pair trading, this is the perfect gui"/>
        <s v="In this video, Jasmin explains everything you need to know about Margin Trading Facility (MTF) on Groww — how it works, how to activate it, and how to use it within the app. &#10;&#10;She walks you through the advantages of using MTF, such as increased buying pow"/>
        <s v="In this video, you’ll learn everything about synthetic futures and how to create them using options with precision and clarity.&#10;&#10;We’ll break down the concept in a simple way—what synthetic futures are, how they work, and why traders use them.&#10;&#10;Jasmin expl"/>
        <s v="In Part 7 of our API Playlist, we dive into one of the most crucial aspects of algo trading — tracking your trades in real time using APIs. After learning how to place orders through APIs in the previous video, it's now time to take the next step: monitor"/>
        <s v="In this video, Aseem Singhal dives deep into 5 powerful intraday trading strategies that every trader must know to navigate the markets with confidence. Whether you're a beginner trying to find your footing or an experienced trader looking to sharpen your"/>
        <s v="In this video, we introduce our newly launched feature — the Intraday Screener, designed to help users identify the best stocks for intraday trading. With a variety of powerful filters such as MACD, RSI, and more, users can easily narrow down their stock "/>
        <s v="In Episode 2 of Trading Papers Decoded, season algo trader Aseem Singhal delves into a research paper focused on a strategy based on trading gap-ups. The paper, which examines Swiss markets, highlights six strategies that can be used. Aseem breaks down ea"/>
        <s v="In Episode 19 of Trading Ki Baat, veteran trader Ved Jaiswal unveils his comprehensive strategy for trading strangles. From selecting the ideal entry point to managing positions amidst unexpected market moves and implementing effective hedging techniques,"/>
        <s v="In this video, we’ll walk you through the process of placing automated orders using Python for algo trading. If you're ready to step into the world of algorithmic trading and say goodbye to manual trading, this tutorial is just for you! 📊&#10;&#10;We start by ex"/>
        <s v="In this video, Aseem breaks down the fundamentals of trading, covering essential topics like different types of charts, key indicators, and popular chart patterns. Watch to gain a clear and solid understanding of the core concepts every trader needs to kn"/>
        <s v="In this MACD trading masterclass, we’ll take you through the best way to master MACD (Moving Average Convergence Divergence) for successful trading. Whether you're a beginner or an experienced trader, this video will help you understand the power of MACD "/>
        <s v="In Episode 18 of Trading Ki Baat, quantitative trader Tanmay Kurtkoti shares a simple, beginner-friendly options trading strategy that’s easy to implement. He starts with the fundamentals, breaking down how the Greeks influence options, when to consider c"/>
        <s v="In Part 5 of the API Playlist, Arjun dives into the process of effortlessly fetching the latest market data, including LTP (Last Traded Price) and OHLC (Open, High, Low, Close) values, using Python. &#10;&#10;This tutorial is a must-watch for those looking to str"/>
        <s v="In Episode 4, Arjun walks you through how to leverage the setup from previous episodes to effortlessly fetch your portfolios, holdings, and positions using powerful APIs and algorithms. Follow along step-by-step as Arjun demonstrates the process, making i"/>
        <s v="In this video, Aseem breaks down key risk management strategies for intraday trading. He covers how to set stop losses effectively, find the right risk-to-reward ratio, and size your positions wisely. If you’re new to trading, these tips will help you pro"/>
        <s v="Link to join the Commodity Trading Waitlist: https://trygroww.typeform.com/to/MMXVCDAR&#10;on Groww&#10;&#10;In this video, Aseem explains how trading in commodities Futures and Options (FnO) works, covering contract expiries and the minimum requirements needed to tr"/>
        <s v="In episode 3 of our API series, Arjun walks you through accessing Groww’s trading APIs to fetch data, place orders, and more — building on everything covered in the last episode. Watch now and don’t miss your chance to take your trading skills to the next"/>
        <s v="In Episode 17 of Trading ki Baat, we had the pleasure of hosting Shikha Pruthi — our very first lady guest on the podcast series. &#10;&#10;Shikha brings over a decade of invaluable experience in the financial markets and is widely recognised for her expertise in"/>
        <s v="In this Episode, Arjun helps you get started with algo trading. He walks you through a step-by-step setup of Python and Visual Studio Code — two essential tools every algo trader needs. Whether you’re a beginner or looking to streamline your workflow, thi"/>
        <s v="How to Start Algo Trading for Beginners | Algo trading kya hai? | Algo trading kaise karte hain?&#10;&#10;In Episode 1, Arjun Tandon provides a clear and easy-to-understand introduction to APIs and their role in algorithmic trading. We break down the fundamentals"/>
        <s v="In this video, Aseem dives into the powerful tools developed by legendary trader W.D. Gann. Using geometry and angles to calculate key support and resistance levels, Aseem demonstrates how Gann’s mathematical approach shaped his trading system. He also pr"/>
        <s v="In this video, Aseem Singhal dives deep into the world of Point &amp; Figure charts. He explains how to read these unique charts, explores effective trading strategies that work best with them, and highlights why Point &amp; Figure charts can offer advantages ove"/>
        <s v="In this 10-minute video, Aseem Singhal walks you through the concept of regression analysis using Excel, breaking down its fundamentals in an easy-to-understand way. &#10;&#10;He then demonstrates how to apply regression analysis in trading to identify trends, re"/>
        <s v="Episode 16 of Trading Ki Baat, we’re joined by Ashwin Raghavan, a former software developer at PhonePe, who took a bold leap of faith to follow his passion for trading.&#10;&#10;In this episode, Ashwin opens up about his journey — from facing significant losses a"/>
        <s v="In this video, Aseem Singhal covers the fundamentals of the markets, explaining the concept of market bias, how the markets operate, and what intraday trading really entails.&#10;&#10;About Groww&#10;&#10;Groww is India’s Best Investment App and the Largest Stock Broker."/>
        <s v="In this video, we are joined by two industry experts: Tanmay Kurtkoti, CEO &amp; Founder of QCAlpha and Quants Capital, and Prathamesh Godbole, an algorithmic trader, as they break down the recent NSE circular on algorithmic trading. Hosted by Arjun Tandon, P"/>
        <s v="Link to join the Commodity Trading Waitlist: https://trygroww.typeform.com/to/MMXVCDAR&#10;on Groww&#10;&#10;How to trade commodities? Crude oil, Gold, Natural gas &amp; more&#10;&#10;In this video, we explore commodity trading, focusing on assets like crude oil, gold, and natur"/>
        <s v="About Groww&#10;&#10;Groww is India’s Best Investment App and the Largest Stock Broker.&#10;&#10;Find us here:&#10;&#10;Android app: https://app.groww.in/v3cO/f9o4prne&#10;iOS app - https://app.groww.in/v3cO/tu0yrc3e&#10;Website - https://groww.in/&#10;&#10;Twitter Handle - https://twitter.com/"/>
        <s v="In Episode 15 of Trading Ki Baat, we have Sumit Behal, a seasoned stock trader who specializes in swing trading and momentum bursts. &#10;&#10;In this dynamic conversation, Sumit shares his approach to stacking the odds in his favor, understanding probabilities, "/>
        <s v="Welcome to another exciting video on stock options trading! In this video, we break down a simple and effective strategy for stock options trading — Stock Options Made EASY. If you've been struggling to predict market direction, this strategy will help yo"/>
        <s v="How to Grow a Small Trading Account – Breakfast with Traders Panel  @Elearnmarkets ​&#10;&#10;Join us for a special edition of 'Breakfast with Traders' recorded live at Elearnmarkets' Face2Face Stock Market Conclave 2025 in Goa. In this engaging panel discussion,"/>
        <s v="In this video, we explore the trading strategies of Patrick Nill, a two-time World Trading Champion known for his consistent success in competitive trading. One of his key strategies, the Volume Profile, is discussed in detail, highlighting how it helps i"/>
        <s v="In Episode 14 of Trading ki Baat, our guest Chetan Panchamia breaks down the Golden Trap setup—an effective options buying strategy. &#10;&#10;He shares insights on how to deploy it, manage risks, set stop-losses, and define targets. &#10;&#10;Beyond the strategy, he als"/>
        <s v="Learn about the smart money concepts related to trading that you need to know in 2025. This video will break down key trading concepts to help you make informed financial decisions.&#10;&#10;About Groww&#10;&#10;Groww is India’s Best Investment App and the Largest Stock "/>
        <s v="In Episode 10 of Breakfast with Traders, host Praful Kulkarni engages in a compelling conversation with Vivek Bajaj, a seasoned trader and co-founder of StockEdge and Elearnmarkets. &#10;&#10;With over 20 years of experience in equities, options, currencies, and "/>
        <s v="What Happens When You OVERCOME These Doubts?📈 Trading Right Pt.3&#10;Subasish Pani is addressing traders' doubts and sharing valuable insights! Don't miss this power-packed session! &#10;&#10;About Groww&#10;&#10;Groww is India’s Best Investment App and the Largest Stock Br"/>
        <s v="Arjun is a systematic trader who relies on well-researched, backtested strategies for consistent performance in the markets. He focuses on disciplined execution and minimizing emotional biases. Arjun also highlights the importance of mindset and fitness, "/>
        <s v="About Groww&#10;&#10;Groww is India’s Best Investment App and the Largest Stock Broker.&#10;&#10;Find us here:&#10;&#10;Android app: https://app.groww.in/v3cO/f9o4prne&#10;iOS app - https://app.groww.in/v3cO/tu0yrc3e&#10;Website - https://groww.in/&#10;Twitter Handle - https://twitter.com/T"/>
        <s v="Looking for a strategic way to trade options with limited risk and enhanced rewards? In this video, we break down Ratio Spreads, a powerful options trading strategy that allows you to take a directional position while benefiting from built-in protection.&#10;"/>
        <s v="Master the art of scalping with Siva's expert option trading insights! 🚀 In this video, Siva breaks down proven strategies, tips, and techniques to help you navigate the fast-paced world of scalping in the options market. Whether you're a beginner or an "/>
        <s v="Are you prepared for the next market crash? Learn how to navigate the financial markets during unpredictable Black Swan events in this video. We cover key strategies for risk management, diversification, and identifying opportunities even in times of cris"/>
        <s v="Master the art of trading with Subasish Pani in Trading Right Part 2! 🚀&#10;In this video, we dive deeper into the strategies, mindset, and tools you need to take your trading game to the next level. Whether you're a beginner or looking to refine your skills"/>
        <s v="Master the art of trading reversal chart patterns and take your trading game to the next level! In this video, we dive deep into popular reversal patterns like Head and Shoulders, Double Tops &amp; Bottoms, and more. Learn how to identify these patterns, spot"/>
        <s v="Are you looking for a consistent way to make profits in the options market? 🎯 In this video, we dive deep into the 3-leg option buying strategy, a unique approach that could turn your trades into a profitable venture.&#10;&#10;About Groww&#10;&#10;Groww is India’s Best "/>
        <s v="Boost Your Trading Journey in 2025 with These Proven Techniques | ft. V Ranjha&#10;&#10;Learn how to boost your trading journey with these backtested strategies in this informative video featuring V Ranjha. Watch now to improve your trading skills and achieve suc"/>
        <s v="How to Use Delivery Percentage for Better Trading Decisions?&#10;&#10;Learn how to use delivery percentage for better trading decisions in the stock market with Groww. Watch this video to understand how delivery percentage can impact your investment strategy and "/>
        <s v="Why Most Traders Fail: The Right Approach to Trading Success ft.  @POWEROFSTOCKSBySubasish &#10;&#10;Learn the right approach to trading success in this video ft. Subasish Pani. Discover why most traders fail and how to avoid common pitfalls in the trading world."/>
        <s v="Master Elliott Waves with Fibonacci in Just 8 minutes 📈&#10;&#10;Unlock the secrets of stock trading with our guide on Elliott Waves and Fibonacci tools! Discover how to identify price movements, find optimal entry points, and use retracement levels for maximum "/>
        <s v="Covered Call: The Rental Income Strategy📈&#10;&#10;About Groww&#10;&#10;Groww is India’s Best Investment App and the Largest Stock Broker.&#10;&#10;Find us here:&#10;&#10;Android app: https://app.groww.in/v3cO/f9o4prne&#10;iOS app - https://app.groww.in/v3cO/tu0yrc3e&#10;Website - https://grow"/>
        <s v="What's the Secret to Riding Big Trends with Pro Option Buyers? | ft. Chirag Suchak | Trading ki Baat&#10;&#10;For episode 11 of Trading ki baat, we have Chirag Suchak, a skilled options trader, as he shares his inspiring journey in trading. Learn about his strate"/>
        <s v="Understanding Trend Analysis: A Comprehensive Guide&#10;&#10;About Groww&#10;&#10;Groww is India’s Best Investment App and the Largest Stock Broker.&#10;&#10;Find us here:&#10;&#10;Android app: https://app.groww.in/v3cO/f9o4prne&#10;iOS app - https://app.groww.in/v3cO/tu0yrc3e&#10;Website - htt"/>
        <s v="How an IT Professional Became One of India's Most Successful Option Buyer? | BWT Ep 8!📈&#10;&#10;In this episode of BWT, we unveil the inspiring transformation of an IT professional into one of India’s most successful options traders. 📉➡️📈&#10;&#10;Our guest takes us "/>
        <s v="Build your own trading strategy with 10 simple steps! #trading #stockmarket &#10;&#10;In this video, discover how to build a trading strategy tailored to your goals and style! This step-by-step guide covers everything from market analysis to risk management, givi"/>
        <s v="Ride BIG Trends with EASY Momentum Trading Strategy! #trading #stockmarket #tradingstrategy &#10;&#10;Learn how to ride big trends with an easy momentum trading strategy in this video! Perfect for beginner traders looking to maximize profits.&#10;&#10;About Groww&#10;&#10;Groww "/>
        <s v="Sector Rotation TRADING Made Easy for Beginners&#10;&#10;About Groww&#10;&#10;Groww is India’s Best Investment App and the Largest Stock Broker.&#10;&#10;Find us here:&#10;&#10;Android app: https://app.groww.in/v3cO/f9o4prne&#10;iOS app - https://app.groww.in/v3cO/tu0yrc3e&#10;Website - https:/"/>
        <s v="How to avoid false breakouts in stock trading using Volume and Price Action!&#10;&#10;#stocktrading #trading &#10;&#10;In this video, Aseem dives deep into volume analysis, an essential tool for traders to understand market behavior. He explores how volume and price move"/>
        <s v="Simple Low-Risk Options Strategy for Monthly Passive Income? | ft. Jasmeet Singh | Trading ki Baat&#10;&#10;For episode 9 of Trading Ki Baat, we have CA Jasmeet Singh, an options trader who has been trading since 2008. Jasmeet grinded through his extensive CA syl"/>
        <s v="Wyckoff Trading: How to Trade Like Smart Money and Institutions!&#10;&#10;In this video, Aseem dives into Wyckoff Theory, a technical analysis approach developed by Richard D. Wyckoff in the early 20th century. He breaks down the key concepts of the Accumulation "/>
        <s v="Secret Options Trading Strategy to Outsmart the Market! | ft. @SantoshKumarPasi | Trading Ki Baat&#10;&#10;In episode 8 of Trading Ki Baat, we are joined by Mr. Santosh Pasi, the mastermind behind the widely used options tool, OptionsOracle. With over 15 years of"/>
        <s v="In episode 7 of Breakfast with Traders, we feature Kirubakaran Rajendran, a seasoned systematic stock trader who has been actively trading since 2008 and is the founder of SquareOff. He delves into building rule-based trading systems, adapting to regulato"/>
        <s v="Want to Catch the Next BIG IPO Listing Breakout? Watch This Now!&#10;&#10;In this video, Aseem provides a step-by-step guide to identifying profitable opportunities in newly listed stocks. Learn how to catch explosive moves in IPOs using the Open Range Breakout ("/>
        <s v="STOP Losing Money in Trading &amp; Start Winning! Free Indicator Revealed to Ride Multibagger Stocks&#10;&#10;In this episode of Trading Ki Baat, we have Mr. Rakesh Pujara, founder of Compounding Wealth Advisors LLP. With over 25 years of experience in the Indian equ"/>
        <s v="I Quit My 9-5 Job and Made Crores in Trading! ft. @ThetaGainers  | Breakfast with Traders Ep. 6&#10;&#10;In episode 6 of Breakfast with Traders, we feature Reyaansh Upadhyay, one of the first YouTubers in India to make positional option selling mainstream. He sha"/>
        <s v="How to Trade BankNifty After Weekly Expiries End? | Option Buying Strategy with Supertrend Indicator&#10;&#10;In this video, Aseem explains how to trade BankNifty after the weekly expiries end on November 13. He discusses the adjustments traders will need to make"/>
        <s v="STOP Falling for Smart Money Traps in the Market! : Inducements Explained&#10;&#10;In this video, Aseem demystifies the concept of inducements in trading, explaining how large market players use price movements to entice retail traders into making premature decis"/>
        <s v="Options Trading for Beginners (Complete In-Depth Guide) | Trading Masterclass&#10;&#10;In this video, Aseem breaks down the fundamentals of options, providing a clear explanation of their mechanics and terminology. He dives deep into the purpose behind the creati"/>
        <s v="Dr. Manish EXPOSES the Surprising Truth About Smart Money in Trading! | Trading Ki Baat &#10;&#10;In this episode of Trading Ki Baat, Dr. Manish Chopra, a part-time trader and pediatrician, shares his unique insights into the psychology of smart money. He offers "/>
        <s v="You Won't Believe The POWER of Rolling Over Options!&#10;&#10;In this video, Aseem reveals how to expertly roll over options like a pro trader, incorporating the use of pivot points to enhance decision-making. He dives into the mechanics of adjusting option posit"/>
        <s v="Worried About Market Spikes? Here's a New Way of Trading Straddles Without Fear! | Trading Ki Baat&#10;&#10;In this episode of Trading Ki Baat, former CMT director and seasoned options trader Vishal dives into advanced straddle trading strategies to help you navi"/>
        <s v="Straddles vs Strangles: Which Options Strategy Suits You Best?&#10;&#10;In this video, Aseem dives into straddles and strangles, explaining how they work in different market conditions. He also provides examples of short straddles and strangles, backtesting each "/>
        <s v="Master Trading Like a Business: Risk Management, Leverage &amp; Identifying Your Edge | Breakfast with Traders Ep. 5&#10;&#10;In episode 5 of Breakfast with Traders, we feature Nikhil Khandelwal, a full-time options seller and avid traveler who loves exploring new pl"/>
        <s v="Mean Reversion Strategy Using Pivot Points | Intraday &amp; Positional Trading&#10;&#10;In this video, Aseem explains and backtests a Mean Reversion strategy using pivot points to capture price reversals at support and resistance levels. He demonstrates the strategy "/>
        <s v="The Only Swing Trading Video You Will Ever Need! | Trading Ki Baat&#10;&#10;In this episode of Trading Ki Baat, seasoned trader Harneet Singh Trehan, with over 9 years of experience, explores the essential concepts of swing trading. He discusses crucial strategie"/>
        <s v="Zero to Hero Strategy: Master Option Buying on Expiry Days!&#10;&#10;In this video, Aseem explains and backtests an expiry day option buying strategy using data from January 2024. Despite its lower accuracy, the strategy offers high return potential with proper r"/>
        <s v="How to Master Full-Time Trading: Risk Management, Capital Strategies | Breakfast with Traders Ep. 4&#10;&#10;In episode 4 of “Breakfast with Traders,” Saketh Ramakrishna and Aamodh Kuthethur delve into the nitty-gritties of full-time trading. Aamodh recently left"/>
        <s v="How To Time The Markets With Stage &amp; Base Analysis&#10;&#10;In this video, Aseem breaks down the legendary trading strategy of Stan Weinstein, one of the most influential traders/investors in stock market history. Discover how Weinstein identified and navigated t"/>
        <s v="Everything About Full-Time Options Trading with Deepak Wadhwa | Trading Ki Baat&#10;&#10;Deepak Wadhwa is a seasoned trader and finance influencer with a wealth of experience in trading and investments. With an MBA in Finance and a career filled with diverse busi"/>
        <s v="How to Trade Imbalances for Maximum Profit: A Complete Strategy!&#10;&#10;0:00 Disclaimer&#10;0:05 Intro&#10;1:47 What is an imbalance?&#10;2:14 How to find imbalances?&#10;3:18 Using Volume Profile tool&#10;4:40 Examples &#10;9:02 Conclusion&#10;&#10;About Groww&#10;&#10;Groww is India’s Best Investme"/>
        <s v="How did Yogeeswar achieve a net worth of 10 crores by trading options?&#10;&#10;0:00 Disclaimer&#10;0:05 Intro&#10;1:39 How Yogeeswar and his family got into trading&#10;4:09 Initial trading capital&#10;7:09 Self doubt on trading full-time&#10;9:05 Current trading capital&#10;10:28 Does"/>
        <s v="How to Use Fractals for Swing Trading Success: A Step-by-Step Guide!&#10;&#10;0:00 Disclaimer&#10;0:05 Introduction&#10;1:03 What are fractals?&#10;5:06 Combining fractals with moving averages&#10;9:43 Conclusion&#10;&#10;About Groww&#10;&#10;Groww is India’s Best Investment App and the Largest"/>
        <s v="Top TRADER with 34 Years Experience Shares SECRET to Success&#10; #TradingKiBaat&#10;&#10;Trading Ki Baat Season 1- https://www.youtube.com/playlist?list=PLnn1F0U-9KimvGP2PsPecyG8rhB7UU2xS&#10;&#10;0:00 - Disclaimer&#10;0:05 - Intro&#10;1:03 - When did Satish start trading?&#10;1:33 - W"/>
        <s v="How Sourabh Sisodiya Mastered the Stock Market: A Pro-Trader’s Journey | Breakfast with Traders Ep.2&#10;&#10;In Ep. 2 of Breakfast with Traders, we dive into Sourabh's trading adventure! He shares his early days, capital mishaps, and beliefs on personal finances"/>
        <s v="India’s Top Trader Aditya Pachwaria Reveals His Trading Strategy #TradingKiBaat&#10;&#10;Trading Ki Baat Season 1- https://www.youtube.com/playlist?list=PLnn1F0U-9KimvGP2PsPecyG8rhB7UU2xS&#10;&#10;0:00 Disclaimer&#10;0:05 Intro&#10;3:48 Aditya's journey&#10;11:17 Two ways to handle "/>
        <s v="Budget 2024 strategy!💰&#10;&#10;0:00 Disclaimer&#10;0:05 Introduction &#10;1:09 Historical reactions&#10;7:29 Short straddle&#10;8:50 Iron condor&#10;9:10 Long straddle&#10;11:49 Conclusion&#10;&#10;About Groww&#10;&#10;Groww is India’s Best Investment App and the Largest Stock Broker.&#10;&#10;Find us here:&#10;"/>
        <s v="The anatomy of trading breakouts!🔬📈&#10;&#10;0:00 Disclaimer&#10;0:05 Introduction&#10;1:41 Normal breakout&#10;5:36 Using triangles&#10;8:17 Channels&#10;10:58 Conclusion&#10;&#10;About Groww&#10;&#10;Groww is India’s Best Investment App and the Largest Stock Broker.&#10;&#10;Find us here:&#10;&#10;Android app:"/>
        <s v="Ultimate Chart Pattern Trading Course! 📉📈&#10;&#10;0:00 Disclaimer&#10;0:05 Introduction&#10;0:50 What are patterns?&#10;1:49 Double top and double bottom&#10;6:47 Triple bottom&#10;7:19 Head and shoulders(regular and inverted)&#10;10:56 Flag and pole&#10;12:36 Rounded bottom&#10;13:36 Volati"/>
        <s v="How did this trader make 8-figure profit from trading? Ft. Piyush Chaudhry | Breakfast with Traders Ep.1&#10;&#10;0:00 Disclaimer&#10;0:05 Introduction &#10;1:59 Meeting Piyush &#10;2:46 Piyush's entry into trading&#10;5:13 Piyush's experience of the 2008 crash&#10;6:46 Introspectio"/>
        <s v="TRADING DETOX! How and when to do it?🤔&#10;#trading #stockmarket #tradingforbeginners #viral &#10;Twitter Handle - https://twitter.com/TradeWithGroww_&#10;Instagram Handle - https://www.instagram.com/tradingwithgroww/&#10;&#10;0:00 Disclaimer&#10;0:05 Introduction&#10;0:42 Revenge/"/>
        <s v="Forget Stop-losses: Master hedging today!📈 #trading #viral #stockmarket &#10;&#10;0:00 Disclaimer&#10;0:05 Introduction&#10;1:16 What is hedging?&#10;3:05 Benefits of hedging:&#10;3:19 Max loss&#10;8:06 Margin&#10;9:20 Injection&#10;10:56 Spread&#10;15:18 Option selling strategy&#10;18:59 Summary&#10;"/>
        <s v="OPTION SELLING: HIGH WINNING PROBABILITY vs UNLIMITED LOSSES 🤔&#10;#trading #optionstrading #optionselling #stockmarket &#10;&#10;0:00 Disclaimer&#10;0:05 Introduction&#10;0:59 What is option selling?&#10;2:26 Examples of risk of ruin&#10;5:55 Hidden costs associated&#10;6:49 Complexit"/>
        <s v="How to trade on Election result day?🗳️&#10;#trading #stockmarket #tradingforbeginners #viral &#10;&#10;0:00 Disclaimer&#10;0:05 Introduction&#10;1:37 How market reacted to recent election results&#10;3:29 Impact of PM's speech on PSU stocks&#10;6:40 Which strategy to use?&#10;8:35 May'"/>
        <s v="How to make and maintain a trading journal?📝&#10;#trading #stockmarket #tradingforbeginners #viral &#10;&#10;0:00 Disclaimer&#10;0:05 Introduction&#10;0:50 What is a trading journal?&#10;1:49 Creating a journal&#10;6:29 Trade review&#10;10:49 Conclusion&#10;&#10;Excel sheet -&#10;https://docs.goog"/>
        <s v="How to make profit in sideways market?&#10;#trading #optionstrading #optionselling #stockmarket &#10;&#10;0:00 - Disclaimer&#10;0:05 - Introduction&#10;1:13 - Short Straddle&#10;5:47 - RSI and Bollinger Bands strategy&#10;13:02 - Conclusion&#10;&#10;About Groww&#10;&#10;Groww is India’s Best Invest"/>
        <s v="How to create a Winning Trading System 📈&#10;#trading #stockmarket #tradingforbeginners #viral &#10;&#10;0:00-0:05 Disclaimer&#10;0:05-0:18 Introduction&#10;0:18-1:25 Importance of trading strategy&#10;1:25-2:50 Choosing what is suitable for you&#10;2:50-4:38 Understanding the mark"/>
        <s v="FINNIFTY Option Buying Strategy | RSI Indicator 📈&#10;#trading #optionstrading #finnifty #rsi &#10;&#10;0:00-1:01 Introduction&#10;1:01-1:55 Prerequisites&#10;1:55-4:32 Strategy&#10;4:32-8:20 Example 1&#10;8:20-9:54 Example 2&#10;9:54-11:54 Example 3&#10;11:54-13:28 Example 4&#10;13:28-14:38 C"/>
        <s v="Fibonacci Retracement advanced strategy using Fractals 📈 for high risk-reward ratio trades 🙌&#10;#trading #fibonacci #stockmarket &#10;&#10;0:00-0:05 Disclaimer&#10;0:05-0:41 Introduction&#10;0:41-1:51 Tools to use&#10;1:51-3:28 What are fractals?&#10;3:28-5:59 Problem with using "/>
        <s v="HOW TO GROW A SMALL TRADING ACCOUNT? 📈&#10;#trading #stockmarket #viral #optionstrading &#10;&#10;0:00 - Disclaimer&#10;0:05 - Introduction&#10;0:42 - 2 facts about trading&#10;1:31 - 4 trading terminologies&#10;3:40 - Creating our own system&#10;15:01 - Conclusion&#10;&#10;Learn how to grow a"/>
        <s v="What should be the Trading Strategy until Election Results? 📈&#10;#trading #nifty #banknifty #viral #election2024 &#10;&#10;0:00 - Disclaimer&#10;0:05 - Introduction&#10;1:12 - India Vix&#10;2:08 - May 2019 example&#10;3:16 - Short strangle&#10;5:02 - Iron condor&#10;9:13 - Conclusion&#10;&#10;Abo"/>
        <s v="Previous day-high, day-low | Breakout Trading Strategy | TRADING MASTERCLASS Ep.3 📈&#10;#trading #tradingforbeginners #stockmarket #viral #optionstrading &#10;&#10;Trading masterclass ep.1 - https://youtu.be/IlHrXTwR1Bw?si=Y3ACVDYh_m57W2D6&#10;Trading masterclass ep.2 -"/>
        <s v="Advanced Price Action Trading explained! | Expert price action strategies 📈&#10;#trading #tradingforbeginners #stockmarket #optionstrading #viral #priceaction price action trading strategies&#10;&#10;0:00 - Disclaimer&#10;0:05 - Introduction&#10;1:46 - How to mark support a"/>
        <s v="Basics of Futures Trading | Complete guide to start Futures trading 📈&#10;#trading #tradingforbeginners #stockmarket #futurestrading &#10;&#10;If you're new to futures trading in the stock market, this video is for you! Learn all about the basics of futures trading "/>
        <s v="BANKNIFTY Trading Masterclass Ep. 2 | Banknifty components complete guide | F&amp;O strategies #trading #tradingforbeginners #stockmarket #optionstrading #tradingstrategy #futurestrading #banknifty #bankniftyanalysis &#10;&#10;Trading masterclass ep.1 - https://youtu"/>
        <s v="Elliott Wave Theory: Easy Ways to Predict Market Trends! #trading #tradingforbeginners #stockmarket #optionstrading #elliottwave &#10;&#10;About Groww&#10;&#10;Groww is India’s Best Investment App and the Largest Stock Broker.&#10;&#10;Find us here:&#10;&#10;Android app: https://app.gro"/>
        <s v="Option Buying decoded: Expiry day strategy for boosting your gains! #tradingforbeginners #trading #stockmarket #optionstrading #optiontrading &#10;&#10;About Groww&#10;&#10;Groww is India’s Best Investment App and the Largest Stock Broker.&#10;&#10;Find us here:&#10;&#10;Android app: ht"/>
        <s v="Beginner’s guide to Scalping | Scalping Trading Strategies&#10;#tradingforbeginners #trading #stockmarket #optionstrading #tradingstrategy #viral #scalping &#10;&#10;About Groww&#10;&#10;Groww is India’s Best Investment App and the Largest Stock Broker.&#10;&#10;Find us here:&#10;&#10;Andro"/>
        <s v="What are Stop-loss jumps? How to enter into trades at the right price? Options Trading for Beginners&#10;#tradingforbeginners #trading #stockmarket #optionstrading &#10;&#10;About Groww&#10;&#10;Groww is India’s Best Investment App and the Largest Stock Broker.&#10;&#10;Find us here"/>
        <s v="Beginner's Guide to Fibonacci Trading Strategy Using Fibonacci Retracement Tool #tradingforbeginners  #trading #stockmarket #fibonacci &#10;&#10;About Groww&#10;&#10;Groww is India’s Best Investment App and the Largest Stock Broker.&#10;&#10;Find us here:&#10;&#10;Android app: https://a"/>
        <s v="Stop losing in INTRADAY Trading! Initial Balance Strategy | Trading Masterclass Ep.1&#10;#tradingforbeginners #trading #stockmarket #intradaytrading #optionstrading #viral &#10;&#10;Learn how to beat trading indicators with this intraday initial balance strategy in o"/>
        <s v="What is Top Down analysis in Trading? Do Global markets influence Indian markets?&#10;#tradingforbeginners #trading #stockmarket #optionstrading &#10;&#10;Discover what top-down analysis is in trading and how global markets can influence Indian markets. Learn how to "/>
        <s v="Expiry Day Trading Mastery: Simple Strategies For Expiry Trading!&#10;#tradingforbeginners #trading #stockmarket #expirydaytrading &#10;&#10;Learn simple expiry day trading strategy that actually works! Master the art of trading on expiry day and make the most out of"/>
        <s v="Option Trading Strategies | Option Buying &amp; Selling | Hedging | F&amp;O Trading for Beginners Ep.5 (Final chapter)&#10;&#10;#optionstrading #tradingforbeginners #trading #stockmarket #tradingstrategy #hedging &#10;&#10;Learn about option trading strategies, including option "/>
        <s v="How to use Heikin Ashi for better trading decisions? | Supertrend Heikin Ashi Strategy #tradingforbeginners #trading #stockmarket &#10;&#10;About Groww&#10;&#10;Groww is India’s Best Investment App and the Largest Stock Broker.&#10;&#10;Find us here:&#10;&#10;Android app: https://app.gr"/>
        <s v="Weekly vs Monthly Expiry Options | Which one is better for you?&#10;#tradingforbeginners #trading #stockmarket #optionstrading #tradingstrategy &#10;&#10;Trying to decide between weekly and monthly expiry options? In this video, we'll break down the differences and h"/>
        <s v="How to use Option greeks? | PCR | F&amp;O Trading for Beginners Ep.4&#10;#tradingforbeginners #trading #stockmarket #optionstrading &#10;&#10;In this episode, learn how to use option greeks, PCR ratio, and open interest in F&amp;O trading! This video is perfect for beginners"/>
        <s v="How to do Intraday Trading using Supertrend Indicator | Intraday Trading Masterclass&#10;#tradingforbeginners #trading #stockmarket #intradaytrading &#10;&#10;Learn how to do successful intraday trading using the Supertrend Indicator with this masterclass. Discover t"/>
        <s v="How to trade when markets are at All Time High?&#10;&#10;About Groww&#10;&#10;Groww is India’s Best Investment App and the Largest Stock Broker.&#10;&#10;Find us here:&#10;&#10;Android app: https://app.groww.in/v3cO/f9o4prne&#10;iOS app - https://app.groww.in/v3cO/tu0yrc3e&#10;Website - https:/"/>
        <s v="Option Buying vs Selling: Which is better? | Option Chain Analysis | F&amp;O Trading for Beginners Ep. 3&#10;#tradingforbeginners #trading #stockmarket &#10;&#10;In this episode of our Futures and Options Trading for Beginners series, we'll explain option chain, differen"/>
        <s v="Breakout Trading Strategy Explained | Stoploss Hunting | How To Identify False Breakouts? #tradingforbeginners #trading #stockmarket &#10;&#10;About Groww&#10;&#10;Groww is India’s Best Investment App and the Largest Stock Broker.&#10;&#10;Find us here:&#10;&#10;Android app: https://app"/>
        <s v="How To Use NSE Data For Trading? | Option Chain | Trading For Beginners&#10;&#10;About Groww&#10;&#10;Groww is India’s Best Investment App and the Largest Stock Broker.&#10;&#10;Find us here:&#10;&#10;Android app: https://app.groww.in/v3cO/f9o4prne&#10;iOS app - https://app.groww.in/v3cO/tu"/>
        <s v="How to start Options trading? | Strike Price Selection | F&amp;O Trading For Beginners Ep. 2 ft Aleena Rais and Aseem Singhal&#10;&#10;About Groww&#10;&#10;Groww is India’s Best Investment App and the Largest Stock Broker.&#10;&#10;Find us here:&#10;&#10;Android app: https://app.groww.in/v3"/>
        <s v="Should You Take Loan For Trading? | Trading Loan&#10;&#10;About Groww&#10;&#10;Groww is India’s Best Investment App and the Largest Stock Broker.&#10;&#10;Find us here:&#10;&#10;Android app: https://app.groww.in/v3cO/f9o4prne&#10;iOS app - https://app.groww.in/v3cO/tu0yrc3e&#10;Website - https:"/>
        <s v="What is Stop and Reverse Trading Strategy? | S.A.R using Supertrend Indicator&#10;&#10;About Groww&#10;&#10;Groww is India’s Best Investment App and the Largest Stock Broker.&#10;&#10;Find us here:&#10;&#10;Android app: https://app.groww.in/v3cO/f9o4prne&#10;iOS app - https://app.groww.in/v"/>
        <s v="Futures and options explained | How to trade in Futures | Futures and Options Trading For Beginners Ep.1 ft Aleena Rais &amp; Aseem Singhal&#10;&#10;0:00-1:23 Introduction&#10;1:36-4:10 Difference between futures and stocks&#10;4:10-8:43 What is Leverage?&#10;8:43-10:49 Benefits"/>
        <s v="5 Trading Indicators You Must Know | Trading Indicators For Beginners&#10;&#10;About Groww&#10;&#10;Groww is India’s Best Investment App and the Largest Stock Broker.&#10;&#10;Find us here:&#10;&#10;Android app: https://app.groww.in/v3cO/f9o4prne&#10;iOS app - https://app.groww.in/v3cO/tu0y"/>
        <s v="Turtle Trading Strategy Explained | How To Identify Trends In Stock Market?&#10;&#10;About Groww&#10;&#10;Groww is India’s Best Investment App and the Largest Stock Broker.&#10;&#10;Find us here:&#10;&#10;Android app: https://app.groww.in/v3cO/f9o4prne&#10;iOS app - https://app.groww.in/v3c"/>
        <s v="Smart Money Concept | SMC Trading Strategy | BOS, ChoCh and Order Block&#10;&#10;About Groww&#10;&#10;Groww is India’s Best Investment App and the Largest Stock Broker.&#10;&#10;Find us here:&#10;&#10;Android app: https://app.groww.in/v3cO/f9o4prne&#10;iOS app - https://app.groww.in/v3cO/tu"/>
        <s v="How To Become a Profitable Swing Trader? Swing Trading For Beginners&#10;&#10;About Groww&#10;&#10;Groww is India’s Best Investment App and the Largest Stock Broker.&#10;&#10;Find us here:&#10;&#10;Android app: https://app.groww.in/v3cO/f9o4prne&#10;iOS app - https://app.groww.in/v3cO/tu0yr"/>
        <s v="How To Do Intraday Trading? | Intraday Trading For Beginners&#10;&#10;About Groww&#10;&#10;Groww is India’s Best Investment App and the Largest Stock Broker.&#10;&#10;Find us here:&#10;&#10;Android app: https://app.groww.in/v3cO/f9o4prne&#10;iOS app - https://app.groww.in/v3cO/tu0yrc3e&#10;Webs"/>
        <s v="Safe Exit Now Live On Groww!&#10;&#10;About Groww&#10;&#10;Groww is India’s Best Investment App and the Largest Stock Broker.&#10;&#10;Find us here:&#10;&#10;Android app: https://app.groww.in/v3cO/f9o4prne&#10;iOS app - https://app.groww.in/v3cO/tu0yrc3e&#10;Website - https://groww.in/&#10;&#10;Twitter"/>
        <s v="What is Pledging of Shares? | Advantages &amp; Disadvantages of Pledging&#10;&#10;About Groww&#10;&#10;Groww is India’s Best Investment App and the Largest Stock Broker.&#10;&#10;Find us here:&#10;&#10;Android app: https://app.groww.in/v3cO/f9o4prne&#10;iOS app - https://app.groww.in/v3cO/tu0yr"/>
        <s v="How to use ATR Indicator with Supertrend Indicator | ATR Indicator Strategy&#10;&#10;About Groww&#10;&#10;Groww is India’s Best Investment App and the Largest Stock Broker.&#10;&#10;Find us here:&#10;&#10;Android app: https://app.groww.in/v3cO/f9o4prne&#10;iOS app - https://app.groww.in/v3c"/>
        <s v="How To Create and Backtest a Trading Strategy Using ChatGPT? | ChatGPT Trading Strategy&#10;&#10;About Groww&#10;&#10;Groww is India’s Best Investment App and the Largest Stock Broker.&#10;&#10;Find us here:&#10;&#10;Android app: https://app.groww.in/v3cO/f9o4prne&#10;iOS app - https://app."/>
        <s v="What is Trend Reversal and Trend Continuation Strategy? | MACD Indicator Strategy&#10;&#10;About Groww&#10;&#10;Groww is India’s Best Investment App and the Largest Stock Broker.&#10;&#10;Find us here:&#10;&#10;Android app: https://app.groww.in/v3cO/f9o4prne&#10;iOS app - https://app.groww."/>
        <s v="How To Select Momentum Stocks For Weekly Trades? | Momentum Stocks For Swing Trading&#10;&#10;About Groww&#10;&#10;Groww is India’s Best Investment App and the Largest Stock Broker.&#10;&#10;Find us here:&#10;&#10;Android app: https://app.groww.in/v3cO/f9o4prne&#10;iOS app - https://app.gro"/>
        <s v="Should You Consider Trading as a Career? | Advantages and Disadvantages&#10;&#10;About Groww&#10;&#10;Groww is India’s Best Investment App and the Largest Stock Broker.&#10;&#10;Find us here:&#10;&#10;Android app: https://app.groww.in/v3cO/f9o4prne&#10;iOS app - https://app.groww.in/v3cO/tu"/>
        <s v="How To Trade On Budget Day | Budget Day Trading Strategy | Budget 2024&#10;&#10;About Groww&#10;&#10;Groww is India’s Best Investment App and the Largest Stock Broker.&#10;&#10;Find us here:&#10;&#10;Android app: https://app.groww.in/v3cO/f9o4prne&#10;iOS app - https://app.groww.in/v3cO/tu0"/>
        <s v="RSI + Supertrend Combo For Better Results | RSI Supertrend strategy&#10;&#10;About Groww&#10;&#10;Groww is India’s Best Investment App and the Largest Stock Broker.&#10;&#10;Find us here:&#10;&#10;Android app: https://app.groww.in/v3cO/f9o4prne&#10;iOS app - https://app.groww.in/v3cO/tu0yrc"/>
        <s v="Expiry Trading For Beginners | Expiry Day Option Trading Explained&#10;&#10;About Groww&#10;&#10;Groww is India’s Best Investment App and the Largest Stock Broker.&#10;&#10;Find us here:&#10;&#10;Android app: https://app.groww.in/v3cO/f9o4prne&#10;iOS app - https://app.groww.in/v3cO/tu0yrc3"/>
        <s v="How To Use Bollinger Bands For Breakout Trades?&#10;&#10;About Groww&#10;&#10;Groww is India’s Best Investment App and the Largest Stock Broker.&#10;&#10;Find us here:&#10;&#10;Android app: https://app.groww.in/v3cO/f9o4prne&#10;iOS app - https://app.groww.in/v3cO/tu0yrc3e&#10;Website - https:/"/>
        <s v="How To Trade In Futures and Options? | Futures and Options Explained&#10;&#10;About Groww&#10;&#10;Groww is India’s Best Investment App and the Largest Stock Broker.&#10;&#10;Find us here:&#10;&#10;Android app: https://app.groww.in/v3cO/f9o4prne&#10;iOS app - https://app.groww.in/v3cO/tu0yr"/>
        <s v="How To Select Stocks For Trading Every Week | Intraday Trading | Swing Trading&#10;&#10;About Groww&#10;&#10;Groww is India’s Best Investment App and the Largest Stock Broker.&#10;&#10;Find us here:&#10;&#10;Android app: https://app.groww.in/v3cO/f9o4prne&#10;iOS app - https://app.groww.in/"/>
        <s v="How To Trail a Stop Loss? | Different Methods Explained&#10;&#10;About Groww&#10;&#10;Groww is India’s Best Investment App and the Largest Stock Broker.&#10;&#10;Find us here:&#10;&#10;Android app: https://app.groww.in/v3cO/f9o4prne&#10;iOS app - https://app.groww.in/v3cO/tu0yrc3e&#10;Website -"/>
        <s v="Nifty Intraday Trading Strategy | Nifty Trading For Beginners&#10;&#10;About Groww&#10;&#10;Groww is India’s Best Investment App and the Largest Stock Broker.&#10;&#10;Find us here:&#10;&#10;Android app: https://app.groww.in/v3cO/f9o4prne&#10;iOS app - https://app.groww.in/v3cO/tu0yrc3e&#10;Web"/>
        <s v="Paper Trading Advantages and Disadvantages | How To Paper Trade on TradingView&#10;&#10;About Groww&#10;&#10;Groww is India’s Best Investment App and the Largest Stock Broker.&#10;&#10;Find us here:&#10;&#10;Android app: https://app.groww.in/v3cO/f9o4prne&#10;iOS app - https://app.groww.in/"/>
        <s v="Top 5 Indicators For Intraday Trading | Best Indicators For Intraday Trading&#10;&#10;About Groww&#10;&#10;Groww is India’s Best Investment App and the Largest Stock Broker.&#10;&#10;Find us here:&#10;&#10;Android app: https://app.groww.in/v3cO/f9o4prne&#10;iOS app - https://app.groww.in/v3"/>
        <s v="Bank Nifty Option Trading Strategy Explained | Which Option Strategy Is Best For Bank Nifty&#10;&#10;About Groww&#10;&#10;Groww is India’s Best Investment App and the Largest Stock Broker.&#10;&#10;Find us here:&#10;&#10;Android app: https://app.groww.in/v3cO/f9o4prne&#10;iOS app - https://"/>
        <s v="How To Use Supertrend Indicator | Super Trend Trading Strategy&#10;&#10;About Groww&#10;&#10;Groww is India’s Best Investment App and the Largest Stock Broker.&#10;&#10;Find us here:&#10;&#10;Android app: https://app.groww.in/v3cO/f9o4prne&#10;iOS app - https://app.groww.in/v3cO/tu0yrc3e&#10;We"/>
        <s v="What is Trading Psychology &amp; How To Master It? | How Can I Improve My Psychology in Trading?&#10;&#10;About Groww&#10;&#10;Groww is India’s Best Investment App and the Largest Stock Broker.&#10;&#10;Find us here:&#10;&#10;Android app: https://app.groww.in/v3cO/f9o4prne&#10;iOS app - https:/"/>
        <s v="Is MACD a Good Indicator For Intraday Trading? | Best MACD Indicator Settings For Trading&#10;&#10;About Groww&#10;&#10;Groww is India’s Best Investment App and the Largest Stock Broker.&#10;&#10;Find us here:&#10;&#10;Android app: https://app.groww.in/v3cO/f9o4prne&#10;iOS app - https://ap"/>
        <s v="How To Use Best-Moving Averages For Intraday? What Is The Best Moving Average Trading Strategy?&#10;&#10;About Groww&#10;&#10;Groww is India’s Best Investment App and the Largest Stock Broker.&#10;&#10;Find us here:&#10;&#10;Android app: https://app.groww.in/v3cO/f9o4prne&#10;iOS app - http"/>
        <s v="How Do You Use The ATR Indicator In Intraday Trading? | Best ATR Settings For Target and Stoploss&#10;&#10;About Groww&#10;&#10;Groww is India’s Best Investment App and the Largest Stock Broker.&#10;&#10;Find us here:&#10;&#10;Android app: https://app.groww.in/v3cO/f9o4prne&#10;iOS app - ht"/>
        <s v="How To Become a PRO TRADER in 2024 | 5 Trading Rules To Become Profitable in 2024&#10;&#10;About Groww&#10;&#10;Groww is India’s Best Investment App and the Largest Stock Broker.&#10;&#10;Find us here:&#10;&#10;Android app: https://app.groww.in/v3cO/f9o4prne&#10;iOS app - https://app.groww."/>
        <s v="Master Trading Psychology: How To Control Your Emotions | Trading For Beginner Masterclass Ep.6&#10;&#10;You can watch the other episodes here:-&#10;Ep.1- https://youtu.be/hVS6C_q00j8&#10;Ep 2.- https://youtu.be/LbS31EAzghQ&#10;Ep.3- https://youtu.be/eRi6sTfpBHg&#10;Ep.4- https:"/>
        <s v="Why Should You Create a Rule Based Trading Strategy | Ab India Karega Invest with Aseem Singhal&#10;&#10;About Groww&#10;&#10;Groww is India’s Best Investment App and the Largest Stock Broker.&#10;&#10;Find us here:&#10;&#10;Android app: https://app.groww.in/v3cO/f9o4prne&#10;iOS app - http"/>
        <s v="How To Trade Futures | Futures Trading For Beginners&#10;&#10;About Groww&#10;&#10;Groww is India’s Best Investment App and the Largest Stock Broker.&#10;&#10;Find us here:&#10;&#10;Android app: https://app.groww.in/v3cO/f9o4prne&#10;iOS app - https://app.groww.in/v3cO/tu0yrc3e&#10;Website - ht"/>
        <s v="How To Recover From Trading Loss? | Trading Psychology | Trading For Beginners &#10;&#10;About Groww&#10;&#10;Groww is India’s Best Investment App and the Largest Stock Broker.&#10;&#10;Find us here:&#10;&#10;Android app: https://app.groww.in/v3cO/f9o4prne&#10;iOS app - https://app.groww.in"/>
        <s v="Best Trading Strategies Explained | Price Action, RSI, Bollinger Bands | Trading For Beginners Ep.5&#10;&#10;You can watch the other episodes here:-&#10;Ep.1- https://youtu.be/hVS6C_q00j8&#10;Ep 2.- https://youtu.be/LbS31EAzghQ&#10;Ep.3- https://youtu.be/eRi6sTfpBHg&#10;Ep.4- ht"/>
        <s v="How To Start Options Trading | Options Trading For Beginners&#10;&#10;About Groww&#10;&#10;Groww is India’s Best Investment App and the Largest Stock Broker.&#10;&#10;Find us here:&#10;&#10;Android app: https://app.groww.in/v3cO/f9o4prne&#10;iOS app - https://app.groww.in/v3cO/tu0yrc3e&#10;Webs"/>
        <s v="How To Buy Stocks At Low Price | Option Wheel Strategy Explained&#10;&#10;About Groww&#10;&#10;Groww is India’s Best Investment App and the Largest Stock Broker.&#10;&#10;Find us here:&#10;&#10;Android app: https://app.groww.in/v3cO/f9o4prne&#10;iOS app - https://app.groww.in/v3cO/tu0yrc3e&#10;"/>
        <s v="How To Find Reversal In Trading? | Overbought and Oversold Zones | RSI Trading Strategy&#10;&#10;About Groww&#10;&#10;Groww is India’s Best Investment App and the Largest Stock Broker.&#10;&#10;Find us here:&#10;&#10;Android app: https://app.groww.in/v3cO/f9o4prne&#10;iOS app - https://app."/>
        <s v="How To Master Risk Management In Trading? | Trading For Beginners Masterclass Ep.4&#10;&#10;You can watch the other episodes here:-&#10;Ep 1 :- https://youtu.be/hVS6C_q00j8&#10;Ep 2.- https://youtu.be/LbS31EAzghQ&#10;Ep.3- https://youtu.be/eRi6sTfpBHg&#10;Ep.5- https://youtu.be/"/>
        <s v="How To Trade Futures Using Range Breakouts? | Futures Trading For Beginners&#10;&#10;trading for beginners | futures trading | futures trading for beginners | technical analysis &#10;&#10;About Groww&#10;&#10;Groww is India’s Best Investment App and the Largest Stock Broker.&#10;&#10;Fi"/>
        <s v="How To Use Donchian Channel Indicator? | Donchian Channel Strategy In Hindi&#10;&#10;trading for beginners | options trading | trading for beginners in hindi | trading | intraday trading | trading strategy&#10;&#10;About Groww&#10;&#10;Groww is India’s Best Investment App and th"/>
        <s v="What Is Swing Trading? | Swing Trading Masterclass For Beginners&#10;&#10;About Groww&#10;&#10;Groww is India’s Best Investment App and the Largest Stock Broker.&#10;&#10;Find us here:&#10;&#10;Android app: https://app.groww.in/v3cO/f9o4prne&#10;iOS app - https://app.groww.in/v3cO/tu0yrc3e&#10;"/>
        <s v="How to use Chart Patterns and Indicators | Trading for Beginners in Hindi | EP03&#10;&#10;#trading #indicators #tradingforbeginners #technicalanalysis #tradingforbeginnersinhindi #chartpatterns &#10;&#10;You can watch the other episodes here:-&#10;Ep 1 :- https://youtu.be/hV"/>
        <s v="How To Use TradingView? | Complete TradingView Tutorial&#10;&#10;trading | trading for beginners | options trading for beginners | trading live | intraday trading&#10;&#10;About Groww&#10;&#10;Groww is India’s Best Investment App and the Largest Stock Broker.&#10;&#10;Find us here:&#10;&#10;And"/>
        <s v="Top 5 Charts In Trading | Different Types of Charts In Trading Explained!&#10;&#10;About Groww&#10;&#10;Groww is India’s Best Investment App and the Largest Stock Broker.&#10;&#10;Find us here:&#10;&#10;Android app: https://app.groww.in/v3cO/f9o4prne&#10;iOS app - https://app.groww.in/v3cO/"/>
        <s v="3 Most Useful Websites For Trading | Best Websites For Indian Traders&#10;&#10;About Groww&#10;&#10;Groww is India’s Best Investment App and the Largest Stock Broker.&#10;&#10;Find us here:&#10;&#10;Android app: https://app.groww.in/v3cO/f9o4prne&#10;iOS app - https://app.groww.in/v3cO/tu0y"/>
        <s v="Technical analysis free course for beginners | Technical analysis in Hindi Masterclass ft Aleena Rais &amp; Aseem Singhal&#10;&#10;Technical analysis is a way of analyzing stock market data to help you make informed investment decisions. In this Trading For Beginners"/>
        <s v="5 Steps To Improve Your Intraday Trading Strategies | Master Trading Psychology&#10;&#10;About Groww&#10;&#10;Groww is India’s Best Investment App and the Largest Stock Broker.&#10;&#10;Find us here:&#10;&#10;Android app: https://app.groww.in/v3cO/f9o4prne&#10;iOS app - https://app.groww.in"/>
        <s v="How Do You Use Pivot Point Standard Indicator? | Trending and Reversal Strategies&#10;&#10;About Groww&#10;&#10;Groww is India’s Best Investment App and the Largest Stock Broker.&#10;&#10;Find us here:&#10;&#10;Android app: https://app.groww.in/v3cO/f9o4prne&#10;iOS app - https://app.groww."/>
        <s v="Top 4 Trading Books You Must Read ! | Trading For Beginners&#10;&#10;About Groww&#10;&#10;Groww is India’s Best Investment App and the Largest Stock Broker.&#10;&#10;Find us here:&#10;&#10;Android app: https://app.groww.in/v3cO/f9o4prne&#10;iOS app - https://app.groww.in/v3cO/tu0yrc3e&#10;Websi"/>
        <s v="How to Start Trading | Trading For Beginners in Hindi Masterclass - Episode 1&#10;&#10;How to do technical analysis of stocks: https://youtu.be/LbS31EAzghQ&#10;Ep.3- https://youtu.be/eRi6sTfpBHg&#10;Ep.4- https://youtu.be/eRi6sTfpBHg&#10;Ep.5- https://youtu.be/MFEcaXFSa6I&#10;Ep"/>
        <s v="How To Improve Trading Accuracy? | Trading Strategies To Increase Profitability&#10;&#10;About Groww&#10;&#10;Groww is India’s Best Investment App and the Largest Stock Broker.&#10;&#10;Find us here:&#10;&#10;Android app: https://app.groww.in/v3cO/f9o4prne&#10;iOS app - https://app.groww.in"/>
        <s v="What Is Volume In Trading? | How To Avoid False Breakout?&#10;&#10;About Groww&#10;&#10;Groww is India’s Best Investment App and the Largest Stock Broker.&#10;&#10;Find us here:&#10;&#10;Android app: https://app.groww.in/v3cO/f9o4prne&#10;iOS app - https://app.groww.in/v3cO/tu0yrc3e&#10;Website"/>
        <s v="How To Select Stocks For Intraday Trading? | Trading For Beginners&#10;&#10;0:00 Disclaimer&#10;0:05 Introduction&#10;0:42 5 methods to find stocks:&#10;1:00 Liquidity&#10;1:37 Top gainers and top losers&#10;3:02 Gap-up stocks&#10;5:06 52 week high breakout stocks&#10;7:31 Open low and open"/>
        <s v="What Is Hedging and How Does It Work? Best Hedging Strategies For Beginners&#10;&#10;About Groww&#10;&#10;Groww is India’s Best Investment App and the Largest Stock Broker.&#10;&#10;Find us here:&#10;&#10;Android app: https://app.groww.in/v3cO/f9o4prne&#10;iOS app - https://app.groww.in/v3c"/>
        <s v="Top 5 Chart Patterns In Trading With Examples | Trading For Beginners&#10;&#10;About Groww&#10;&#10;Groww is India’s Best Investment App and the Largest Stock Broker.&#10;&#10;Find us here:&#10;&#10;Android app: https://app.groww.in/v3cO/f9o4prne&#10;iOS app - https://app.groww.in/v3cO/tu0y"/>
        <s v="Rule Based Trading Systems | How To Become a Disciplined Trader? | Trading Psychology&#10;&#10;About Groww&#10;&#10;Groww is India’s Best Investment App and the Largest Stock Broker.&#10;&#10;Find us here:&#10;&#10;Android app: https://app.groww.in/v3cO/f9o4prne&#10;iOS app - https://app.gr"/>
        <s v="How To Use ChatGPT For Trading? | ChatGPT Trading Explained For Beginners&#10;&#10;About Groww&#10;&#10;Groww is India’s Best Investment App and the Largest Stock Broker.&#10;&#10;Find us here:&#10;&#10;Android app: https://app.groww.in/v3cO/f9o4prne&#10;iOS app - https://app.groww.in/v3cO/"/>
        <s v="How To Use CPR Indicator? | Intraday Trading Strategy - Central Pivot Range&#10;&#10;About Groww&#10;&#10;Groww is India’s Best Investment App and the Largest Stock Broker.&#10;&#10;Find us here:&#10;&#10;Android app: https://app.groww.in/v3cO/f9o4prne&#10;iOS app - https://app.groww.in/v3c"/>
        <s v="How To Get Perfect Entry And Exit In Trading? | Alligator Indicator Strategy&#10;&#10;About Groww&#10;&#10;Groww is India’s Best Investment App and the Largest Stock Broker.&#10;&#10;Find us here:&#10;&#10;Android app: https://app.groww.in/v3cO/f9o4prne&#10;iOS app - https://app.groww.in/v3"/>
        <s v="What Is India VIX ? | Indian VIX Trading Strategy In Hindi&#10;&#10;About Groww&#10;&#10;Groww is India’s Best Investment App and the Largest Stock Broker.&#10;&#10;Find us here:&#10;&#10;Android app: https://app.groww.in/v3cO/f9o4prne&#10;iOS app - https://app.groww.in/v3cO/tu0yrc3e&#10;Websit"/>
        <s v="Types Of Trading Explained | Which Trading Style Is Best For You? | Trading For Beginners&#10;&#10;About Groww&#10;&#10;Groww is India’s Best Investment App and the Largest Stock Broker.&#10;&#10;Find us here:&#10;&#10;Android app: https://app.groww.in/v3cO/f9o4prne&#10;iOS app - https://ap"/>
        <s v="What Is Paper Trading (With Examples)? | Paper Trading For Beginners&#10;&#10;About Groww&#10;&#10;Groww is India’s Best Investment App and the Largest Stock Broker.&#10;&#10;Find us here:&#10;&#10;Android app: https://app.groww.in/v3cO/f9o4prne&#10;iOS app - https://app.groww.in/v3cO/tu0yr"/>
        <s v="What Is ADX Indicator? | ADX Indicator Strategy&#10;&#10;About Groww&#10;&#10;Groww is India’s Best Investment App and the Largest Stock Broker.&#10;&#10;Find us here:&#10;&#10;Android app: https://app.groww.in/v3cO/f9o4prne&#10;iOS app - https://app.groww.in/v3cO/tu0yrc3e&#10;Website - https:/"/>
        <s v="Index Trading Vs Stock Trading - What Is Better?&#10;&#10;About Groww&#10;&#10;Groww is India’s Best Investment App and the Largest Stock Broker.&#10;&#10;Find us here:&#10;&#10;Android app: https://app.groww.in/v3cO/f9o4prne&#10;iOS app - https://app.groww.in/v3cO/tu0yrc3e&#10;Website - https:"/>
        <s v="How To Trade On Expiry Day? | Expiry Strategy To Get High Returns In Trading&#10;&#10;About Groww&#10;&#10;Groww is India’s Best Investment App and the Largest Stock Broker.&#10;&#10;Find us here:&#10;&#10;Android app: https://app.groww.in/v3cO/f9o4prne&#10;iOS app - https://app.groww.in/v3"/>
        <s v="What Is VWAP Trading Strategy? | How To Use VWAP To Capture Trending Market&#10;&#10;About Groww&#10;&#10;Groww is India’s Best Investment App and the Largest Stock Broker.&#10;&#10;Find us here:&#10;&#10;Android app: https://app.groww.in/v3cO/f9o4prne&#10;iOS app - https://app.groww.in/v3c"/>
        <s v="Bollinger Bands Indicator - How To Recognise Volatility? | Bollinger Band Trading Strategy&#10;&#10;About Groww&#10;&#10;Groww is India’s Best Investment App and the Largest Stock Broker.&#10;&#10;Find us here:&#10;&#10;Android app: https://app.groww.in/v3cO/f9o4prne&#10;iOS app - https://a"/>
        <s v="Pivot Point Trading Strategy Explained! | Easiest Intraday Strategy For Trading&#10;&#10;About Groww&#10;&#10;Groww is India’s Best Investment App and the Largest Stock Broker.&#10;&#10;Find us here:&#10;&#10;Android app: https://app.groww.in/v3cO/f9o4prne&#10;iOS app - https://app.groww.in"/>
        <s v="What Is Pledging Of Shares? | Understanding The Pros And Cons! | Trading For Beginners&#10;&#10;About Groww&#10;&#10;Groww is India’s Best Investment App and the Largest Stock Broker.&#10;&#10;Find us here:&#10;&#10;Android app: https://app.groww.in/v3cO/f9o4prne&#10;iOS app - https://app.g"/>
        <s v="How To Calculate Put Call Ratio? | PCR Analysis | PCR Trading Strategy&#10;&#10;About Groww&#10;&#10;Groww is India’s Best Investment App and the Largest Stock Broker.&#10;&#10;Find us here:&#10;&#10;Android app: https://app.groww.in/v3cO/f9o4prne&#10;iOS app - https://app.groww.in/v3cO/tu0"/>
        <s v="Best Methods To Decide Stop-loss | Trailing Stop-loss In Trading&#10;&#10;About Groww&#10;&#10;Groww is India’s Best Investment App and the Largest Stock Broker.&#10;&#10;Find us here:&#10;&#10;Android app: https://app.groww.in/v3cO/f9o4prne&#10;iOS app - https://app.groww.in/v3cO/tu0yrc3e&#10;"/>
        <s v="What Is Open Interest In Stock Market? | Open Interest Trading Strategy&#10;&#10;About Groww&#10;&#10;Groww is India’s Best Investment App and the Largest Stock Broker.&#10;&#10;Find us here:&#10;&#10;Android app: https://app.groww.in/v3cO/f9o4prne&#10;iOS app - https://app.groww.in/v3cO/tu"/>
        <s v="BTST Trading Strategy Fully Explained | BTST Strategy For Stocks And Options Buying&#10;&#10;About Groww&#10;&#10;Groww is India’s Best Investment App and the Largest Stock Broker.&#10;&#10;Find us here:&#10;&#10;Android app: https://app.groww.in/v3cO/f9o4prne&#10;iOS app - https://app.grow"/>
        <s v="How To Select Stock For Intraday Trading? | Equity Trading | Intraday Trading Strategies&#10;&#10;About Groww&#10;&#10;Groww is India’s Best Investment App and the Largest Stock Broker.&#10;&#10;Find us here:&#10;&#10;Android app: https://app.groww.in/v3cO/f9o4prne&#10;iOS app - https://app"/>
        <s v="Technical Analysis Masterclass In Hindi | Trading For Beginners&#10;&#10;About Groww&#10;&#10;Groww is India’s Best Investment App and the Largest Stock Broker.&#10;&#10;Find us here:&#10;&#10;Android app: https://app.groww.in/v3cO/f9o4prne&#10;iOS app - https://app.groww.in/v3cO/tu0yrc3e&#10;W"/>
        <s v="How To Use RSI Divergence Strategy For Positional Trading | RSI Trading Strategy&#10;&#10;About Groww&#10;&#10;Groww is India’s Best Investment App and the Largest Stock Broker.&#10;&#10;Find us here:&#10;&#10;Android app: https://app.groww.in/v3cO/f9o4prne&#10;iOS app - https://app.groww.i"/>
        <s v="What Are Heikin-Ashi Candles? | Best Heikin Ashi Trading Strategies Explained&#10;&#10;About Groww&#10;&#10;Groww is India’s Best Investment App and the Largest Stock Broker.&#10;&#10;Find us here:&#10;&#10;Android app: https://app.groww.in/v3cO/f9o4prne&#10;iOS app - https://app.groww.in/v"/>
        <s v="How To Recover From Big Trading Loss ? | Trading Psychology | Loss Recovery&#10;&#10;About Groww&#10;&#10;Groww is India’s Best Investment App and the Largest Stock Broker.&#10;&#10;Find us here:&#10;&#10;Android app: https://app.groww.in/v3cO/f9o4prne&#10;iOS app - https://app.groww.in/v3c"/>
        <s v="What Is Smart Money Concept? SMC Trading Strategy With High Risk-Reward Ratio&#10;&#10;Twitter Handle - https://twitter.com/TradeWithGroww_&#10;Instagram Handle - https://www.instagram.com/tradingwithgroww/&#10;&#10;For educational videos on trading, please subscribe to the "/>
        <s v="How To Use Chartink Screener For Intraday? | How Do I Scan Stocks In Chartink?&#10;&#10;Twitter Handle - https://twitter.com/TradeWithGroww_&#10;Instagram Handle - https://www.instagram.com/tradingwithgroww/&#10;&#10;For educational videos on trading, please subscribe to the"/>
        <s v="5 Rules To Be More Disciplined In Trading | Trading Psychology&#10;&#10;Twitter Handle - https://twitter.com/TradeWithGroww_&#10;Instagram Handle - https://www.instagram.com/tradingwithgroww/&#10;&#10;For educational videos on trading, please subscribe to the Trading with Gr"/>
        <s v="How To Combine RSI + Supertrend Indicators For Weekly Chart? | Positional Trading Strategy&#10;&#10;Twitter Handle - https://twitter.com/TradeWithGroww_&#10;Instagram Handle - https://www.instagram.com/tradingwithgroww/&#10;&#10;For educational videos on trading, please subs"/>
        <s v="Top 3 Candlestick Patterns Every Trader Should Know&#10;&#10;Twitter Handle - https://twitter.com/TradeWithGroww_&#10;Instagram Handle - https://www.instagram.com/tradingwithgroww/&#10;&#10;For educational videos on trading, please subscribe to the Trading with Groww channel"/>
        <s v="What Is Position Sizing In Stock Trading? | How Much Capital To Use Per Trade?&#10;&#10;Twitter Handle - https://twitter.com/TradeWithGroww_&#10;Instagram Handle - https://www.instagram.com/tradingwithgroww/&#10;&#10;For educational videos on trading, please subscribe to the"/>
        <s v="Option Selling - 5 Biggest Mistakes To Avoid With Example | Option Trading For Beginners&#10;&#10;Twitter Handle - https://twitter.com/TradeWithGroww_&#10;Instagram Handle - https://www.instagram.com/tradingwithgroww/&#10;&#10;For educational videos on trading, please subscr"/>
        <s v="How To Trade On Expiry Day ? | Highly Profitable Zero-Hero Options Trading Strategy&#10;&#10;Twitter Handle - https://twitter.com/TradeWithGroww_&#10;Instagram Handle - https://www.instagram.com/tradingwithgroww/&#10;&#10;For educational videos on trading, please subscribe t"/>
        <s v="How To Do Swing Trading In Options? | Options Selling Strategy &#10;&#10;Twitter Handle - https://twitter.com/TradeWithGroww_&#10;Instagram Handle - https://www.instagram.com/tradingwithgroww/&#10;&#10;For educational videos on trading, please subscribe to the Trading with G"/>
        <s v="How Do I Get Better At Price Action Trading? | Price Action Free Masterclass For Intraday&#10;&#10;Twitter Handle - https://twitter.com/TradeWithGroww_&#10;Instagram Handle - https://www.instagram.com/tradingwithgroww/&#10;&#10;For educational videos on trading, please subsc"/>
        <s v="What Is The Best Way To Use Trailing Stop Loss? | What Is The Most Common Trailing Stop-loss Method&#10;&#10;Twitter Handle - https://twitter.com/TradeWithGroww_&#10;Instagram Handle - https://www.instagram.com/tradingwithgroww/&#10;&#10;For educational videos on trading, pl"/>
        <s v="What Are The Pros and Cons Of Being a Full-time Trader? | Is It Hard To Be a Full-time Day Trader?&#10;&#10;Twitter Handle - https://twitter.com/TradeWithGroww_&#10;Instagram Handle - https://www.instagram.com/tradingwithgroww/&#10;&#10;For educational videos on trading, ple"/>
        <s v="How Does Elliott Wave Theory Work? | How To Use Elliott Wave Strategy For Trading In Hindi&#10;&#10;Twitter Handle - https://twitter.com/TradeWithGroww_&#10;Instagram Handle - https://www.instagram.com/tradingwithgroww/&#10;&#10;For educational videos on trading, please subs"/>
        <s v="Easiest Way To Trade In Stock Options! | Stock Option Trading For Beginners&#10;&#10;Twitter Handle - https://twitter.com/TradeWithGroww_&#10;Instagram Handle - https://www.instagram.com/tradingwithgroww/&#10;&#10;For educational videos on trading, please subscribe to the Tr"/>
        <s v="How Do You Use a Super Trend Indicator? | Super Trend Indicator Best Settings For Intraday&#10;&#10;Twitter Handle - https://twitter.com/TradeWithGroww_&#10;Instagram Handle - https://www.instagram.com/tradingwithgroww/&#10;&#10;For educational videos on trading, please subs"/>
        <s v="How To Trade Using Support And Resistance Levels For Trading | Trading For Beginners In Hindi&#10;&#10;Twitter Handle - https://twitter.com/TradeWithGroww_&#10;Instagram Handle - https://www.instagram.com/tradingwithgroww/&#10;&#10;For educational videos on trading, please s"/>
        <s v="What Is Turtle Trading Strategy? | How To Use Donchian Indicator | Positional Trading Strategy&#10;&#10;Twitter Handle - https://twitter.com/TradeWithGroww_&#10;Instagram Handle - https://www.instagram.com/tradingwithgroww/&#10;&#10;For educational videos on trading, please "/>
        <s v="How Does Gann's Theory Work? | How To Use Gann Fan Strategy With Bollinger Bands And Regression Line&#10;&#10;Twitter Handle - https://twitter.com/TradeWithGroww_&#10;Instagram Handle - https://www.instagram.com/tradingwithgroww/&#10;&#10;For educational videos on trading, p"/>
        <s v="Intraday Strangle Option Selling Strategy | Option Trading Strategies | Trading with Groww&#10;&#10;Sourabh's YouTube Channel - https://youtube.com/@SourabhSisodiya&#10;&#10;Twitter Handle - https://twitter.com/TradeWithGroww_&#10;Instagram Handle - https://www.instagram.com"/>
        <s v="6 Price Action Trading Tips You Can Learn In 12 Minutes | Advance Price Action Trading Strategies&#10;&#10;Twitter Handle - https://twitter.com/TradeWithGroww_&#10;Instagram Handle - https://www.instagram.com/tradingwithgroww/&#10;&#10;For educational videos on trading, plea"/>
        <s v="What Is The Best Strategy For Scalping? | Best Scalping Tips &amp; Scalping Strategies For Intraday&#10;&#10;Twitter Handle - https://twitter.com/TradeWithGroww_&#10;Instagram Handle - https://www.instagram.com/tradingwithgroww/&#10;&#10;For educational videos on trading, please"/>
        <s v="What Is Max Pain Theory &amp; How Does It Work | Max Pain Option Trading Strategy&#10;&#10;Twitter Handle - https://twitter.com/TradeWithGroww_&#10;Instagram Handle - https://www.instagram.com/tradingwithgroww/&#10;&#10;For educational videos on trading, please subscribe to the "/>
        <s v="How To Select Strike Price In Options For Intraday? | How To Select Best Strike Price for Buying&#10;&#10;Twitter Handle - https://twitter.com/TradeWithGroww_&#10;Instagram Handle - https://www.instagram.com/tradingwithgroww/&#10;&#10;For educational videos on trading, pleas"/>
        <s v="How To Trade Using CCI Indicator For Day Trading | CCI Indicator Trading Strategies For Beginners&#10;&#10;Twitter Handle - https://twitter.com/TradeWithGroww_&#10;Instagram Handle - https://www.instagram.com/tradingwithgroww/&#10;&#10;For educational videos on trading, plea"/>
        <s v="When To Buy Or Sell Call and Put Options | Option Selling vs Option Buying Which Is Better&#10;&#10;Twitter Handle - https://twitter.com/TradeWithGroww_&#10;Instagram Handle - https://www.instagram.com/tradingwithgroww/&#10;&#10;For educational videos on trading, please subs"/>
        <s v="Moving Average Crossover Strategy For Intraday | Moving Average Ko Use Karne Ka Sahi Tarika Kya Hai?&#10;&#10;Twitter Handle - https://twitter.com/TradeWithGroww_&#10;Instagram Handle - https://www.instagram.com/tradingwithgroww/&#10;&#10;For educational videos on trading, p"/>
        <s v="How To Predict The Market Direction Using Option Chain Analysis | Option Chain Analysis For Intraday&#10;&#10;Twitter Handle - https://twitter.com/TradeWithGroww_&#10;Instagram Handle - https://www.instagram.com/tradingwithgroww/&#10;&#10;For educational videos on trading, p"/>
        <s v="What Are The Advantages Of Full-time Trading? | Should You Become a Full-time Trader&#10;&#10;Twitter Handle - https://twitter.com/TradeWithGroww_&#10;Instagram Handle - https://www.instagram.com/tradingwithgroww/&#10;&#10;For educational videos on trading, please subscribe "/>
        <s v="How To Trade Using Opening Range Breakout Strategy in Intraday | Best Intraday Strategy in Hindi&#10;&#10;Twitter Handle - https://twitter.com/TradeWithGroww_&#10;Instagram Handle - https://www.instagram.com/tradingwithgroww/&#10;&#10;For educational videos on trading, pleas"/>
        <s v="Short Straddle Adjustments Hindi | Short Straddle Option Strategy | Option Trading For Beginners&#10;&#10;Twitter Handle - https://twitter.com/TradeWithGroww_&#10;Instagram Handle - https://www.instagram.com/tradingwithgroww/&#10;&#10;For educational videos on trading, pleas"/>
        <s v="How to Select the Best Stocks for Swing Trading | Swing Trading Stock Selection for Beginners&#10;&#10;Twitter Handle - https://twitter.com/TradeWithGroww_&#10;Instagram Handle - https://www.instagram.com/tradingwithgroww/&#10;&#10;For educational videos on trading, please s"/>
        <s v="Stochastic Indicator In Trading For Sideways And Trending Market | Technical Analysis For Beginners&#10;&#10;Twitter Handle - https://twitter.com/TradeWithGroww_&#10;Instagram Handle - https://www.instagram.com/tradingwithgroww/&#10;&#10;For educational videos on trading, pl"/>
        <s v="How To Use Awesome Oscillator For Trading | Awesome Oscillator Strategy With Trading With Groww&#10;&#10;Twitter Handle - https://twitter.com/TradeWithGroww_&#10;Instagram Handle - https://www.instagram.com/tradingwithgroww/&#10;&#10;For educational videos on trading, please"/>
        <s v="Top 7 Tips For Scalping In Intraday Trading | Trading For Beginners | Trading with Groww&#10;&#10;Twitter Handle - https://twitter.com/TradeWithGroww_&#10;Instagram Handle - https://www.instagram.com/tradingwithgroww/&#10;&#10;For educational videos on trading, please subscr"/>
        <s v="Top 6 Tips For Swing Trading By Trading with Groww | Swing Trading For Beginners&#10;&#10;Twitter Handle - https://twitter.com/TradeWithGroww_&#10;Instagram Handle - https://www.instagram.com/tradingwithgroww/&#10;&#10;For educational videos on trading, please subscribe to t"/>
        <s v="Advantages Of Pledging Shares On Groww App | Shares Pledging | Trading With Groww&#10;&#10;Twitter Handle - https://twitter.com/TradeWithGroww_&#10;Instagram Handle - https://www.instagram.com/tradingwithgroww/&#10;&#10;For educational videos on trading, please subscribe to "/>
        <s v="Bank Nifty Strategy For Expiry Day Trading | Expiry Day Trading Strategy | Trading For Beginners&#10;&#10;Twitter Handle - https://twitter.com/TradeWithGroww_&#10;Instagram Handle - https://www.instagram.com/tradingwithgroww/&#10;&#10;For educational videos on trading, pleas"/>
        <s v="How Much Risk To Take In Share Market| Risk Management Intraday Trading | Position Sizing In Trading&#10;&#10;Twitter Handle - https://twitter.com/TradeWithGroww_&#10;Instagram Handle - https://www.instagram.com/tradingwithgroww/&#10;&#10;For educational videos on trading, p"/>
        <s v="What Is Ichimoku Cloud Trading? | Ichimoku Cloud Entry And Exit Criteria | Trading With Groww&#10;&#10;Twitter Handle - https://twitter.com/TradeWithGroww_&#10;Instagram Handle - https://www.instagram.com/tradingwithgroww/&#10;&#10;For educational videos on trading, please s"/>
        <s v="Minimise Losses With Hedging | Why Should You Hedge? | Hedging Trading Strategy&#10;&#10;Twitter Handle - https://twitter.com/TradeWithGroww_&#10;Instagram Handle - https://www.instagram.com/tradingwithgroww/&#10;&#10;For educational videos on trading, please subscribe to th"/>
        <s v="How To Use Google Bard For Trading | Bard Twitter Sentiment Analysis | Bard Trading Analysis&#10;&#10;Twitter Handle - https://twitter.com/TradeWithGroww_&#10;Instagram Handle - https://www.instagram.com/tradingwithgroww/&#10;&#10;For educational videos on trading, please su"/>
        <s v="How To Trade On Events? | Event Driven Trading Strategy | News Based Intraday Trading&#10;&#10;Twitter Handle - https://twitter.com/TradeWithGroww_&#10;Instagram Handle - https://www.instagram.com/tradingwithgroww/&#10;&#10;For educational videos on trading, please subscribe"/>
        <s v="How To Set Price Alerts On Groww &#10;&#10;Twitter Handle - https://twitter.com/TradeWithGroww_&#10;Instagram Handle - https://www.instagram.com/tradingwithgroww/&#10;&#10;For educational videos on trading, please subscribe to the Trading with Groww channel: https://openinap"/>
        <s v="Stop Loss Kaise Lagaye ? | Top 4 Way To Put Up a Stoploss | Stoploss Trading&#10;&#10;Twitter Handle - https://twitter.com/TradeWithGroww_&#10;Instagram Handle - https://www.instagram.com/tradingwithgroww/&#10;&#10;For educational videos on trading, please subscribe to the T"/>
        <s v="Best Candlestick Patterns To Trade | Trading For Beginners&#10;&#10;Twitter Handle - https://twitter.com/TradeWithGroww_&#10;Instagram Handle - https://www.instagram.com/tradingwithgroww/&#10;&#10;For educational videos on trading, please subscribe to the Trading with Groww "/>
        <s v="Intraday Option Selling Strategy For Finnifty | Option Selling Strategies With Kirubakaran Rajendran&#10;&#10;Twitter Handle - https://twitter.com/TradeWithGroww_&#10;Instagram Handle - https://www.instagram.com/tradingwithgroww/&#10;&#10;For educational videos on trading, p"/>
        <s v="Top 2 VWAP Trading Strategies | Intraday Trading Strategy | Trading For Beginners&#10;&#10;Twitter Handle - https://twitter.com/TradeWithGroww_&#10;Instagram Handle - https://www.instagram.com/tradingwithgroww/&#10;&#10;For educational videos on trading, please subscribe to "/>
        <s v="Simple Trading Strategy With Mukul Agrawal | Trading For Beginners&#10;&#10;Twitter Handle - https://twitter.com/TradeWithGroww_&#10;Instagram Handle - https://www.instagram.com/tradingwithgroww/&#10;&#10;For educational videos on trading, please subscribe to the Trading wit"/>
        <s v="Option Greeks Explained In Detail: Delta Theta Gamma And Vega | Option Trading For Beginners&#10;&#10;Twitter Handle - https://twitter.com/TradeWithGroww_&#10;Instagram Handle - https://www.instagram.com/tradingwithgroww/&#10;&#10;For educational videos on trading, please su"/>
        <s v="Breakout Trading Strategy To Enter-Exit A Trade | VCP Pattern Trading | Trading For Beginners&#10;&#10;Twitter Handle - https://twitter.com/TradeWithGroww_&#10;Instagram Handle - https://www.instagram.com/tradingwithgroww/&#10;&#10;For educational videos on trading, please s"/>
        <s v="How To Use ChatGPT For Trading? | ChatGPT Trading Strategy | Trading For Beginners&#10;&#10;Twitter Handle - https://twitter.com/TradeWithGroww_&#10;Instagram Handle - https://www.instagram.com/tradingwithgroww/&#10;&#10;For educational videos on trading, please subscribe to"/>
        <s v="LEAVE Job To Become a Full Time Trader? | When To Start Full Time Trading? | Trading For Beginners&#10;&#10;Twitter Handle - https://twitter.com/TradeWithGroww_&#10;Instagram Handle - https://www.instagram.com/tradingwithgroww/&#10;&#10;0:00-0:55 Introduction&#10;0:56 - Why you "/>
        <s v="Chart Pattern Analysis | Types Of Chart Patterns | Candlestick Patterns | Trading For Beginners&#10;&#10;Twitter Handle - https://twitter.com/TradeWithGroww_&#10;Instagram Handle - https://www.instagram.com/tradingwithgroww/&#10;&#10;0:00-1:00 Intro&#10;1:01-3:55 Cup and handle "/>
        <s v="Fibonacci Retracement Trading Strategy | Pullback Based Share Trade | Trading With Groww&#10;&#10;0:00-1:16 Intro&#10;1:17-2:13 Using fibonacci retracement for entry&#10;2:14-3:53 How to draw fibonacci retracement&#10;3:54-5:38 Long entry&#10;5:39-7:28 Using moving average to im"/>
        <s v="What Is Trend Following? | Trend Following Strategies | Technical Analysis For Beginners&#10;&#10;Twitter Handle - https://twitter.com/TradeWithGroww_&#10;Instagram Handle - https://www.instagram.com/tradingwithgroww/&#10;&#10;For educational videos on trading, please subscr"/>
        <s v="How To Trade In Low India VIX? | India VIX Trading Strategy | Options Trading For Beginners&#10;&#10;0:00-0:44 Introduction&#10;0:48-2:23 India VIX Value&#10;2:25-2:52 Nifty Co-relation with India VIX&#10;2:53-10:25 Calendar spread strategy&#10;10:26-11:20 Outro&#10;&#10;Twitter Handle "/>
        <s v="Algo Trading Strategies For Beginners With Kirubakaran Rajendran | How To Setup Full Explanation&#10;&#10;&#10;0:00-0:40- Introduction&#10;0:41-2:35 - What is algo trading and how to start&#10;2:35-3:12 - Discretionary trading&#10;3:09-4:22 - Yes bank&#10;4:23-6:22 - Historical anal"/>
        <s v="Option Buying Strategy | Options Trading For Beginners | Trading Ki Baat With Jaynesh Kasliwal&#10;&#10;00:00-00:32 - Introduction&#10;00:32-1:46 - Jaynesh's Trading Journey&#10;1:46-2:42 - What is a rule based trading strategy&#10;2:42-9:24 - What trading strategy are we go"/>
        <s v="How To Draw Trendlines | Trendline Trading Strategy | Support And Resistance | Trading For Beginners&#10;&#10;Twitter Handle - https://twitter.com/TradeWithGroww_&#10;Instagram Handle - https://www.instagram.com/tradingwithgroww/&#10;&#10;For educational videos on trading, p"/>
        <s v="What Is Price Action? | Price Action Trading Rules | Trading with Groww&#10;&#10;Twitter Handle - https://twitter.com/TradeWithGroww_&#10;Instagram Handle - https://www.instagram.com/tradingwithgroww/&#10;&#10;For educational videos on trading, please subscribe to the Tradin"/>
        <s v="How To Place Large Quantity Orders In One Click On Groww&#10;&#10;Twitter Handle - https://twitter.com/TradeWithGroww_&#10;Instagram Handle - https://www.instagram.com/tradingwithgroww/&#10;&#10;For educational videos on trading, please subscribe to the Trading with Groww ch"/>
        <s v="Paper Trading For Beginners | Tradingview Paper Trading | Should You Do Paper Trading?&#10;&#10;0:00 Disclaimer&#10;0:05 Introduction&#10;0:41 What is paper trading?&#10;1:17 Advantages of paper trading&#10;3:37 Disadvantages &#10;6:18 Examples&#10;8:46 Tips for best results&#10;11:17 Concl"/>
        <s v="How To Do Momentum Trading? | Momentum Trading Strategies | Option Buying Strategy For Intraday&#10;&#10;Twitter Handle - https://twitter.com/TradeWithGroww_&#10;Instagram Handle - https://www.instagram.com/tradingwithgroww/&#10;&#10;For educational videos on trading, please"/>
        <s v="Inside Bar Strategy with Vibhor Varshney | Inside Candle Intraday Strategy | Trading Ki Baat&#10;&#10;Vibhor's Twitter Handle - https://twitter.com/nakulvibhor&#10;Vibhor's YouTube Handle - https://www.youtube.com/@VibhorVarshney/videos&#10;&#10;Twitter Handle - https://twit"/>
        <s v="Weekly Options Trading | How To Trade Weekly Options | Options Trading For Beginners&#10;&#10;Twitter Handle - https://twitter.com/TradeWithGroww_&#10;Instagram Handle - https://www.instagram.com/tradingwithgroww/&#10;&#10;For educational videos on trading, please subscribe "/>
        <s v="How To Do Gap Trading | Gap Up and Gap Down Strategy | Trading with Groww&#10;&#10;&#10;Twitter Handle - https://twitter.com/TradeWithGroww_&#10;Instagram Handle - https://www.instagram.com/tradingwithgroww/&#10;&#10;For educational videos on trading, please subscribe to the Tra"/>
        <s v="Positional Trading Strategy | Trading For Beginners | Rishikesh Singh Equity4life&#10;&#10;Twitter Handle - https://twitter.com/TradeWithGroww_&#10;Instagram Handle - https://www.instagram.com/tradingwithgroww/&#10;&#10;For educational videos on trading, please subscribe to "/>
        <s v="Trading With Full Time Job | Job Ke Sath Trading Kaise Kare | Trading and Job Together&#10;&#10;Twitter Handle - https://twitter.com/TradeWithGroww_&#10;Instagram Handle - https://www.instagram.com/tradingwithgroww/&#10;&#10;For educational videos on trading, please subscrib"/>
        <s v="Option Selling With Low Capital | Trading with Groww | Option Selling Strategies&#10;&#10;Twitter Handle - https://twitter.com/TradeWithGroww_&#10;Instagram Handle - https://www.instagram.com/tradingwithgroww/&#10;&#10;For educational videos on trading, please subscribe to t"/>
        <s v="Price action with Kiran Bala | option buying strategy | Support and Resistance at Trading ki Baat&#10;&#10;Twitter Handle - https://twitter.com/TradeWithGroww_&#10;Instagram Handle - https://www.instagram.com/tradingwithgroww/&#10;&#10;For educational videos on trading, plea"/>
        <s v="Should You Pledge Shares For Margin? | Pledging | Stock market For Beginners&#10;&#10;Twitter Handle - https://twitter.com/TradeWithGroww_&#10;Instagram Handle - https://www.instagram.com/tradingwithgroww/&#10;&#10;0:00 Disclaimer&#10;0:05 What is share pledging?&#10;0:44 Gold examp"/>
        <s v="Monthly Options For Monthly Income | Weekly vs Monthly Options | How To Trade Options&#10;&#10;Twitter Handle - https://twitter.com/TradeWithGroww_&#10;Instagram Handle - https://www.instagram.com/tradingwithgroww/&#10;&#10;For educational videos on trading, please subscribe"/>
        <s v="Swing trading strategies with Bharat Jhunjhunwala | Trading ki Baat | RSI indicator explained&#10;&#10;Twitter Handle - https://twitter.com/TradeWithGroww_&#10;Instagram Handle - https://www.instagram.com/tradingwithgroww/&#10;&#10;For educational videos on trading, please s"/>
        <s v="cpr trading strategy - Central Pivot Range | intraday trading strategies | pivot points&#10;&#10;Twitter Handle - https://twitter.com/TradeWithGroww_&#10;Instagram Handle - https://www.instagram.com/tradingwithgroww/&#10;&#10;For educational videos on trading, please subscri"/>
        <s v="More to pay on trading transactions? | stt charges in share market | futures and options&#10;&#10;Twitter Handle - https://twitter.com/TradeWithGroww_&#10;Instagram Handle - https://www.instagram.com/tradingwithgroww/&#10;&#10;For educational videos on trading, please subscr"/>
        <s v="How To Use Pivot Point Trading Strategy ? | Pivot Point Indicator&#10;&#10;Twitter Handle - https://twitter.com/TradeWithGroww_&#10;Instagram Handle - https://www.instagram.com/tradingwithgroww/&#10;&#10;For educational videos on trading, please subscribe to the Trading with"/>
        <s v="VWAP Trading Strategy | Intraday Trading Strategies&#10;&#10;Twitter Handle - https://twitter.com/TradeWithGroww_&#10;Instagram Handle - https://www.instagram.com/tradingwithgroww/&#10;&#10;For educational videos on trading, please subscribe to the Trading with Groww channel"/>
        <s v="Stoploss Hunting In Intraday Trading | Trading Ki Baat | Trading For Beginners&#10;&#10;Twitter Handle - https://twitter.com/TradeWithGroww_&#10;Instagram Handle - https://www.instagram.com/tradingwithgroww/&#10;&#10;For educational videos on trading, please subscribe to the"/>
        <s v="What is put call ratio trading strategy  | Option trading strategy | Trading for beginners&#10;&#10;Twitter Handle - https://twitter.com/TradeWithGroww_&#10;Instagram Handle - https://www.instagram.com/tradingwithgroww/&#10;&#10;For educational videos on trading, please subs"/>
        <s v="futures and options in share market | futures trading | options trading for beginners&#10;&#10;Twitter Handle - https://twitter.com/TradeWithGroww_&#10;Instagram Handle - https://www.instagram.com/tradingwithgroww/&#10;&#10;For educational videos on trading, please subscribe"/>
        <s v="Why 89% Traders Fail | Do's and Don'ts of trading | sebi latest news&#10;&#10;Twitter Handle - https://twitter.com/TradeWithGroww_&#10;Instagram Handle - https://www.instagram.com/tradingwithgroww/&#10;&#10;For educational videos on trading, please subscribe to the Trading w"/>
        <s v="How To Trade In Sideways Market&#10;&#10;Twitter Handle - https://twitter.com/TradeWithGroww_&#10;Instagram Handle - https://www.instagram.com/tradingwithgroww/&#10;&#10;For educational videos on trading, please subscribe to the Trading with Groww channel: https://openinapp."/>
        <s v="Powerful Straddle Trading Strategy | Trading Ki Baat with Saketh Ramakrishna&#10;&#10;Twitter Handle - https://twitter.com/TradeWithGroww_&#10;Instagram Handle - https://www.instagram.com/tradingwithgroww/&#10;&#10;For educational videos on trading, please subscribe to the T"/>
        <s v="Hedging Trading Strategy For Maximum Profits&#10;&#10;Twitter Handle - https://twitter.com/TradeWithGroww_&#10;Instagram Handle - https://www.instagram.com/tradingwithgroww/&#10;&#10;For educational videos on trading, please subscribe to the Trading with Groww channel: https"/>
        <s v="How To Select Strike Price In Options&#10;&#10;Twitter Handle - https://twitter.com/TradeWithGroww_&#10;Instagram Handle - https://www.instagram.com/tradingwithgroww/&#10;&#10;For educational videos on trading, please subscribe to the Trading with Groww channel: https://open"/>
        <s v="Trading Ki Baat with Kapil Agarwal | How Trading Mindset &amp; Psychology Brings In Profits&#10;&#10;Twitter Handle - https://twitter.com/TradeWithGroww_&#10;Instagram Handle - https://www.instagram.com/tradingwithgroww/&#10;&#10;For educational videos on trading, please subscri"/>
        <s v="Calendar Spread Options Strategy &amp; Adjustments&#10;&#10;Instagram Handle - https://www.instagram.com/tradingwithgroww/&#10;&#10;For educational videos on trading, please subscribe to the Trading with Groww channel: https://openinapp.co/youtube/trading-with-groww&#10;&#10;We also"/>
        <s v="Trading Hours EXTENDED? | Impact of Extended Trading Hours&#10;&#10;Instagram Handle - https://www.instagram.com/tradingwithgroww/&#10;&#10;For educational videos on trading, please subscribe to the Trading with Groww channel: https://openinapp.co/youtube/trading-with-gr"/>
        <s v="How To Improve Trading Psychology&#10;&#10;Instagram Handle - https://www.instagram.com/tradingwithgroww/&#10;&#10;For educational videos on trading, please subscribe to the Trading with Groww channel: https://openinapp.co/youtube/trading-with-groww&#10;&#10;We also have a Kanna"/>
        <s v="Pair Trading Strategy For Maximum Profits&#10;&#10;Instagram Handle - https://www.instagram.com/tradingwithgroww/&#10;&#10;For educational videos on trading, please subscribe to the Trading with Groww channel: https://openinapp.co/youtube/trading-with-groww&#10;&#10;We also have"/>
        <s v="Chartered Accountant To Full Time Trader | Trading Ki Baat With Sachin Saluja&#10;&#10;Instagram Handle - https://www.instagram.com/tradingwithgroww/&#10;&#10;For educational videos on trading, please subscribe to the Trading with Groww channel: https://openinapp.co/yout"/>
        <s v="Relative Strength Trading Strategy For Higher Accuracy&#10;&#10;Instagram Handle - https://www.instagram.com/tradingwithgroww/&#10;&#10;For educational videos on trading, please subscribe to the Trading with Groww channel: https://openinapp.co/youtube/trading-with-groww&#10;"/>
        <s v="India VIX Trading Strategies For More Profits&#10;&#10;Instagram Handle - https://www.instagram.com/tradingwithgroww/&#10;&#10;For educational videos on trading, please subscribe to the Trading with Groww channel: https://openinapp.co/youtube/trading-with-groww&#10;&#10;We also "/>
        <s v="INCREASE Returns With LOWER Risk&#10;&#10;For educational videos on trading, please subscribe to the Trading with Groww channel: https://openinapp.co/youtube/trading-with-groww&#10;&#10;We also have a Kannada, Tamil, Telugu, Malayalam, and a Mutual fund channel&#10;&#10;🔔 Groww"/>
        <s v="Link to join the Commodity Trading Waitlist: https://trygroww.typeform.com/to/MMXVCDAR&#10;on Groww&#10;&#10;Commodity Trading For Beginners | How To Trade In Commodity Market?&#10;&#10;0:00 Disclaimer&#10;0:05 Introduction&#10;0:40 What are commodities?&#10;4:54 Crude oil strategy&#10;8:59"/>
        <s v="Will Adani Stocks CRASH Further? | Adani share latest news&#10;&#10;For educational videos on trading, please subscribe to the Trading with Groww channel: https://openinapp.co/youtube/trading-with-groww&#10;&#10;We also have a Kannada, Tamil, Telugu, Malayalam, and a Mut"/>
        <s v="Budget Day Trading Strategy | Budget 2023 Option Strategy&#10;&#10;For educational videos on trading, please subscribe to the Trading with Groww channel: https://openinapp.co/youtube/trading-with-groww&#10;&#10;We also have a Kannada, Tamil, Telugu, Malayalam, and a Mutu"/>
        <s v="How To Trade With Low Capital&#10;&#10;For educational videos on trading, please subscribe to the Trading with Groww channel: https://openinapp.co/youtube/trading-with-groww&#10;&#10;We also have a Kannada, Tamil, Telugu, Malayalam, and a Mutual fund channel&#10;&#10;🔔 Groww Ka"/>
        <s v="Intraday Options Trading Kaise Karni Chahiye?&#10;&#10;For educational videos on trading, please subscribe to the Trading with Groww channel: https://openinapp.co/youtube/trading-with-groww&#10;&#10;We also have a Kannada, Tamil, Telugu, Malayalam, and a Mutual fund chan"/>
        <s v="Penny Stocks Can Give Multibagger Returns?&#10;&#10;For educational videos on trading, please subscribe to the Trading with Groww channel: https://openinapp.co/youtube/trading-with-groww&#10;&#10;We also have a Kannada, Tamil, Telugu, Malayalam, and a Mutual fund channel"/>
        <s v="When To Avoid Trading&#10;&#10;For educational videos on trading, please subscribe to the Trading with Groww channel: https://openinapp.co/youtube/trading-with-groww&#10;&#10;We also have a Kannada, Tamil, Telugu, Malayalam, and a Mutual fund channel&#10;&#10;🔔 Groww Kannada - "/>
        <s v="Learn Systematic Trading &amp; Become Profitable!&#10;&#10;For educational videos on trading, please subscribe to the Trading with Groww channel: https://openinapp.co/youtube/trading-with-groww&#10;&#10;We also have a Kannada, Tamil, Telugu, Malayalam, and a Mutual fund chan"/>
        <s v="Option buying tips to increase probability of profit&#10;&#10;For educational videos on trading, please subscribe to the Trading with Groww channel: https://openinapp.co/youtube/trading-with-groww&#10;&#10;We also have a Kannada, Tamil, Telugu, Malayalam, and a Mutual fu"/>
        <s v="How To Become a Profitable Trader in 2023&#10;&#10;For educational videos on trading, please subscribe to the Trading with Groww channel: https://openinapp.co/youtube/trading-with-groww&#10;&#10;We also have a Kannada, Tamil, Telugu, Malayalam, and a Mutual fund channel&#10;"/>
        <s v="Scalping Trading Strategy For Consistent Profits!&#10;&#10;For educational videos on trading, please subscribe to the Trading with Groww channel: https://openinapp.co/youtube/trading-with-groww&#10;&#10;We also have a Kannada, Tamil, Telugu, Malayalam, and a Mutual fund "/>
        <s v="Uncovering the Advantages &amp; Disadvantages of Rule-Based Trading&#10;&#10;For educational videos on trading, please subscribe to the Trading with Groww channel: https://openinapp.co/youtube/trading-with-groww&#10;&#10;We also have a Kannada, Tamil, Telugu, Malayalam, and "/>
        <s v="Heikin Ashi Trading Strategy&#10;&#10;For educational videos on trading, please subscribe to the Trading with Groww channel: https://openinapp.co/youtube/trading-with-groww&#10;&#10;We also have a Kannada, Tamil, Telugu, Malayalam, and a Mutual fund channel&#10;&#10;🔔 Groww Kan"/>
        <s v="Backtesting a Trading Strategy: Step-by-Step Guide | Stock Mock&#10;&#10;For educational videos on trading, please subscribe to the Trading with Groww channel: https://openinapp.co/youtube/trading-with-groww&#10;&#10;We also have a Kannada, Tamil, Telugu, Malayalam, and "/>
        <s v="Maximize Your Trading Potential with TradingView's Tools and Features! &#10;&#10;Trading ki Baat registration link: https://pages.razorpay.com/groww-trader-conclave&#10;&#10;For educational videos on trading, please subscribe to the Trading with Groww channel: https://op"/>
        <s v="FINNIFTY Trading Startegy | Intraday Expiry Strategy&#10;&#10;0:00 Introduction&#10;2:49 Trading Strategy&#10;6:37 Bcaktested reults&#10;7:38 Monthly P&amp;L&#10;9:51 Recap&#10;&#10;For educational videos on trading, please subscribe to the Trading with Groww channel: https://openinapp.co/y"/>
        <s v="How I Learned From My Trading Mistakes| Day Trading Mistakes&#10;&#10;0:00 Introduction &#10;0:50 Trading mistake #1 &#10;2:50 Trading mistake #2 &#10;4:10 Trading mistake #3 &#10;7:25 Trading mistake #4 &#10;9:54 Trading mistake #5 &#10; &#10;For educational videos on trading, please subsc"/>
        <s v="Alligator Indicator Trading Strategy | How to use Indicators on Groww app? &#10;&#10;0:00 Alligator indicator introduction&#10;0:54 How to load indicator?&#10;1:35 Alligator indicator details&#10;3:33 Alligator indicator trading strategy&#10;&#10;&#10;For educational videos on trading, "/>
        <s v="How to pick trades with Open Interest? | Open Interest Analysis&#10;&#10;0:00 Introduction to Open Interest&#10;0:41 Price, Volume, and OI&#10;2:24 Open interest analysis&#10;4:47 Long Buildup&#10;6:30 Short Buildup&#10;7:42 Long Unwinding&#10;9:08 Short covering&#10;11:13 Recap and learnin"/>
        <s v="EXPIRY SPECIAL: How to read price action on thursdays? Trading ki Baat with Anil Hudda&#10;&#10;In this video&#10;0:00 Anil Introduction &#10;1:28 Anil's Trading journey&#10;6:40 Trading style &#10;7:34 Practical Expiry Trading&#10;14:47 Important Support and Resistances&#10;18:25 Ways "/>
        <s v="Options Trading for Beginners | Groww app F&amp;O Trading kaise kare ?&#10;&#10;0:00 Disclaimer&#10;0:05 Introduction&#10;0:23 Explanation on Groww app&#10;5:21 Open interest&#10;6:20 How to exit a position?&#10;7:31 Conclusion&#10;&#10;For educational videos on trading, please subscribe to the"/>
        <s v="Should you QUIT your job for Trading? Day trading full time&#10;&#10;For educational videos on trading, please subscribe to the Trading with Groww channel: https://openinapp.co/youtube/trading-with-groww&#10;&#10;We also have a Kannada, Tamil, Telugu, Malayalam, and a Mu"/>
        <s v="Learn How to Make Money with Nifty Options Trading - A Beginner's Guide!&#10;&#10;Backtest results : https://docs.google.com/file/d/1Pu0RQ0B15crtcxnxcmGu6OOvGUlb1VGP/edit?usp=docslist_api&amp;filetype=msexcel&#10;&#10;&#10;For educational videos on trading, please subscribe to t"/>
        <s v="Risks in Futures &amp; Options Trading! Trading For Beginners&#10;&#10;For educational videos on trading, please subscribe to the Trading with Groww channel: https://openinapp.co/youtube/trading-with-groww&#10;&#10;We also have a Kannada, Tamil, Telugu, Malayalam, and a Mutu"/>
        <s v="Master ADX, Alligator and MACD Indicators. Trading ki baat with Rohit Katwal&#10;&#10;In this video:&#10;0:00 Introduction&#10;0:21 Rohit Katwal's introduction&#10; 5:10 Trading style&#10;10:37 How to take a view of the market?&#10;13:00 Stock selection&#10;19:51 How to determine buy &amp; "/>
        <s v="November Trading Strategy Results: A Performance Review You Can't Miss!&#10;&#10;Strategy Videos:&#10;Intraday Banknifty Option Selling Strategy: https://youtu.be/H6wAU3TovQg&#10;Intraday Option Buying Strategy: https://youtu.be/r01O9GIX89w&#10;Equity Positional Trading Stra"/>
        <s v="Top 5 stocks with highest returns (1 month) | Technical Analysis&#10;&#10;For educational videos on trading, please subscribe to the Trading with Groww channel: https://openinapp.co/youtube/trading-with-groww&#10;&#10;We also have a Kannada, Tamil, Telugu, Malayalam, and"/>
        <s v="Open High Low Strategy | Intraday Trading&#10;&#10;For educational videos on trading, please subscribe to the Trading with Groww channel: https://openinapp.co/youtube/trading-with-groww&#10;&#10;We also have a Kannada, Tamil, Telugu, Malayalam, and a Mutual fund channel&#10;"/>
        <s v="Positional Trading : Rule-based trading system&#10;&#10;For educational videos on trading, please subscribe to the Trading with Groww channel: https://openinapp.co/youtube/trading-with-groww&#10;&#10;We also have a Kannada, Tamil, Telugu, Malayalam, and a Mutual fund cha"/>
        <s v="How to do Intraday Trading on Groww App | Intraday Trading For Beginners&#10;&#10;For educational videos on trading, please subscribe to the Trading with Groww channel: https://openinapp.co/youtube/trading-with-groww&#10;&#10;We also have a Kannada, Tamil, Telugu, Malaya"/>
        <s v="How to generate regular income from options? | Options trading&#10;&#10;For educational videos on trading, please subscribe to the Trading with Groww channel: https://openinapp.co/youtube/trading-with-groww&#10;&#10;We also have a Kannada, Tamil, Telugu, Malayalam, and a"/>
        <s v="Chartink Intraday Scanner | How to build scanner &amp; dashboard for trading?&#10;&#10;For educational videos on trading, please subscribe to the Trading with Groww channel: https://openinapp.co/youtube/trading-with-groww&#10;&#10;We also have a Kannada, Tamil, Telugu, Malay"/>
        <s v="Top 5 pointers for Rule based trading| Mechanical trading&#10;For educational videos on trading, please subscribe to the Trading with Groww channel: https://openinapp.co/youtube/trading-with-groww&#10;&#10;We also have a Kannada, Tamil, Telugu, Malayalam, and a Mutua"/>
        <s v="How to compound your capital with trading systems? Trading ki baat with Jegan &amp; Arjun&#10;&#10;In this video:&#10;0:00 Jegan introduction&#10;0:49 Transition to a trader&#10;9:15 Discretionary to systematic trader&#10;12:39 Why should you not trade on Fridays?&#10;16:12 Straddles an"/>
        <s v="Bollinger Bands Trading Strategy | Trading For Beginners&#10;&#10;In this video, we discuss Bollinger Bands and how to use it for Intraday Tradin.&#10;Intraday video: https://youtu.be/0hT7FDjP_Sw&#10;&#10;For educational videos on trading, please subscribe to the Trading wit"/>
        <s v="Banknifty Futures Trading Strategy | Heikin Ashi &amp; Supertrend&#10;&#10;For educational videos on trading, please subscribe to the Trading with Groww channel: https://openinapp.co/youtube/trading-with-groww&#10;&#10;We also have a Kannada, Tamil, Telugu, Malayalam, and a "/>
        <s v="The truth about day trading stocks | What it takes to succeed?&#10;&#10;For educational videos on trading, please subscribe to the Trading with Groww channel: https://openinapp.co/youtube/trading-with-groww&#10;&#10;We also have a Kannada, Tamil, Telugu, Malayalam, and a"/>
        <s v="How to use Fibonacci for perfect entry and targets? | Fibonacci Retracement&#10;&#10;In this video:&#10;0:00 Fibonacci Introduction&#10;3:07 Strategy &#10;11:47 How to take the perfect entry?&#10;&#10;For educational videos on trading, please subscribe to the Trading with Groww chan"/>
        <s v="Learn When To Buy Straddles In Stocks | Long Straddle Option Strategy | Trading Ki Baat With Robin&#10;&#10;In this video:&#10;0:00 Introduction&#10;0:30 Robin's Introduction&#10;1:57 Robin's Trading Journey&#10;4:38 Trading Style&#10;5:58 Advantages of a long straddle&#10;7:20 Risk of "/>
        <s v="8 Steps for a Successful Trading Plan | Trading Plan&#10;&#10;For educational videos on trading, please subscribe to the Trading with Groww channel: https://openinapp.co/youtube/trading-with-groww&#10;&#10;We also have a Kannada, Tamil, Telugu, Malayalam, and a Mutual fu"/>
        <s v="Top Candlestick Patterns For Swing Trading| Trading For Beginners &#10;&#10;In this video:&#10;0:00 Introduction&#10;1:44 Swing Trading&#10;4:55 Candlestick #1&#10;11:14 Candlestick #2&#10;14:53 Candlestick #3 &#10;18:13 Candlestick #4 &#10;21:03 Recap and learnings&#10;&#10;For educational videos "/>
        <s v="Rule-Based Swing Trading With Entry &amp; Exit&#10;&#10;For educational videos on trading, please subscribe to the Trading with Groww channel: https://openinapp.co/youtube/trading-with-groww&#10;&#10;In this video:&#10;0:00 Introduction&#10;1:24 Right time to exit the stock&#10;5:11 Tec"/>
        <s v="The Disciplined Trader: Developing Winning Attitudes For Success&#10;&#10;For educational videos on trading, please subscribe to the Trading with Groww channel: https://openinapp.co/youtube/trading-with-groww&#10;&#10;We also have a Kannada, Tamil, Telugu, Malayalam, and"/>
        <s v="Top 3 Volume-Based Trading Strategies| Swing &amp; Intraday Trading&#10;&#10;In this video:&#10;0:00 Introduction&#10;1:50 Money Flow Index Indicator (Intraday Strategy)&#10;7:59 On Balance Volume (Positional Strategy) &#10;12:35 Chaikin Indicator(Intraday Strategy)&#10;&#10;&#10;For educationa"/>
        <s v="Top 5 stocks with highest returns (1 month) | Technical Analysis&#10;&#10;0:00 Introduction and filter criteria&#10;1:12 Stock #1&#10;4:10 Stock #2 &#10;5:52 Stock #3  &#10;7:55 Stock #4  &#10;9:44 Stock #5 &#10;&#10;For educational videos on trading, please subscribe to the Trading with Gr"/>
        <s v="How to Start Trading as a Beginner? Trading for Beginners (Hindi)&#10;&#10;For educational videos on trading, please subscribe to the Trading with Groww channel: https://openinapp.co/youtube/trading-with-groww&#10;&#10;We also have a Kannada, Tamil, Telugu, Malayalam, an"/>
        <s v="Long-Term Secrets to Short-Term Trading | Trading For Beginners&#10;&#10;For educational videos on trading, please subscribe to the Trading with Groww channel: https://openinapp.co/youtube/trading-with-groww&#10;&#10;We also have a Kannada, Tamil, Telugu, Malayalam, and "/>
        <s v="Learn Scalping Trading Strategy In Options | Trading Ki Baat With Sankalp &#10;&#10;In this video:&#10;0:00 Sankalp Introduction&#10;0:57 Sankalp's Trading Journey&#10;2:26 Scalping Trading Style&#10;8:23 Preferred Instrument For Scalping / Stock Selection&#10;12:08 Indicators for S"/>
        <s v="Trade Nifty In Just 15 Minutes A Day| Intraday Trading&#10;&#10;For educational videos on trading, please subscribe to the Trading with Groww channel: https://openinapp.co/youtube/trading-with-groww&#10;&#10;We also have a Kannada, Tamil, Telugu, Malayalam, and a Mutual "/>
        <s v="Top 5 Profitable Chart Patterns| Intraday Trading For Beginners&#10;&#10;For educational videos on trading, please subscribe to the Trading with Groww channel: https://openinapp.co/youtube/trading-with-groww&#10;&#10;We also have a Kannada, Tamil, Telugu, Malayalam, and "/>
        <s v="The One-Hour Trade: Make Money with One Simple Strategy| Day Trading&#10;&#10;For educational videos on trading, please subscribe to the Trading with Groww channel: https://openinapp.co/youtube/trading-with-groww&#10;&#10;We also have a Kannada, Tamil, Telugu, Malayalam,"/>
        <s v="Do Trading Strategies Stop Working? Trading For Beginners&#10;&#10;For educational videos on trading, please subscribe to the Trading with &#10;Groww channel: https://openinapp.co/youtube/trading-with-groww&#10;&#10;We also have a Kannada, Tamil, Telugu, Malayalam, and a Mut"/>
        <s v="How To Make Consistent Profits From Expiry Trading? Trading Ki Baat With Kirubakaran  &#10;&#10;Best Expiry Trading Strategy | Trading Ki Baat With Kirubakaran  @Square Off  &#10;For educational videos on trading, please subscribe to the Trading with Groww channel: h"/>
        <s v="Mark Minervini Trading Strategy | Trade Like A Stock Market Wizard&#10;&#10;For educational videos on trading, please subscribe to the Trading with Groww channel: https://openinapp.co/youtube/trading-with-groww&#10;&#10;We also have a Kannada, Tamil, Telugu, Malayalam, a"/>
        <s v="NIFTY is Headed For Another Bull Run? Nifty All Time High!!&#10;&#10;For educational videos on trading, please subscribe to the Trading with Groww channel: https://openinapp.co/youtube/trading-with-groww&#10;&#10;We also have a Kannada, Tamil, Telugu, Malayalam, and a Mu"/>
        <s v="Top 5 Day Trading Metrics For Success | Trading for Beginners&#10;&#10;For educational videos on trading, please subscribe to the Trading with Groww channel: https://openinapp.co/youtube/trading-with-groww&#10;&#10;We also have a Kannada, Tamil, Telugu, Malayalam, and a "/>
        <s v="Option Buying Strategies | Options Trading Intraday &amp; Positional&#10;&#10;In this video:&#10;0:00 Introduction to options buying&#10;1:35 Option Buying Intraday Strategy&#10;13:39 Option Buying Positional Strategy&#10;19:54 Recap &amp; learnings&#10;&#10;&#10;For educational videos on trading, "/>
        <s v="Trading Strategy Results For October | Trading Performance Review &#10;&#10;In this video:&#10;0:00 Introduction&#10;0:48 Intraday Banknifty Option Selling Strategy&#10;4:35 Intraday Option Buying Strategy&#10;8:09 Equity Positional Trading Strategy&#10;10:31 BTST Trading Strategy&#10;1"/>
        <s v="How to Day Trade for a Living: A Beginner's Guide to Tools, Money Management and Trading Psychology&#10;&#10;For educational videos on trading, please subscribe to the Trading with Groww channel: https://openinapp.co/youtube/trading-with-groww&#10;&#10;We also have a Kan"/>
        <s v="Stocks With 52 Week Highs: How To Trade Them?&#10;&#10;For educational videos on trading, please subscribe to the Trading with Groww channel: https://openinapp.co/youtube/trading-with-groww&#10;&#10;We also have a Kannada, Tamil, Telugu, Malayalam, and a Mutual fund chan"/>
        <s v="This Indicator Helps Determine Breakout Strength: CHAIKIN MONEY FLOW&#10;&#10;For educational videos on trading, please subscribe to the Trading with Groww channel: https://openinapp.co/youtube/trading-with-groww&#10;&#10;We also have a Kannada, Tamil, Telugu, Malayalam,"/>
        <s v="Trade Like a Pro: Master These Position Sizing &amp; Risk Management Techniques for Successful Trading!&#10;&#10;For educational videos on trading, please subscribe to the Trading with Groww channel: https://openinapp.co/youtube/trading-with-groww&#10;&#10;We also have a Kan"/>
        <s v="How To Trade Stock Options In A Profitable &amp; Consistent Manner? Trading Ki Baat with Ashish Gupta&#10;&#10;In this video:&#10;0:00 Introduction&#10;0:30 Ashish Gupta's introduction&#10;1:30 Ashish's initial trading journey&#10;5:58 What is volatility trading?&#10;10:05 IV Percentile"/>
        <s v="Top 3 Bullish Stocks For Swing Trading | Technical Analysis (21-10-2022)&#10;&#10;For educational videos on trading, please subscribe to the Trading with Groww channel: https://openinapp.co/youtube/trading-with-groww&#10;&#10;We also have a Kannada, Tamil, Telugu, Malaya"/>
        <s v="GAP UP &amp; GAP DOWN! How to Trade Gaps In Trading?&#10;&#10;In this video,&#10;&#10;0:00 Introduction&#10;1:02 What are gaps in trading?&#10;2:21 Why do gaps occur?&#10;4:20 How to trade gaps?&#10;11:05 Scanner for gaps&#10;15:17 Learnings &amp; recap&#10;&#10;For educational videos on trading, please su"/>
        <s v="ATR Indicator Secrets! How To Use ATR Indicator?&#10;&#10;For educational videos on trading, please subscribe to the Trading with Groww channel: https://openinapp.co/youtube/trading-with-groww&#10;&#10;We also have a Kannada, Tamil, Telugu, Malayalam, and a Mutual fund c"/>
        <s v="Trading In The Zone Book Review (Hindi): Most Valuable Trading Lessons&#10;&#10;For educational videos on trading, please subscribe to the Trading with Groww channel: https://openinapp.co/youtube/trading-with-groww&#10;&#10;We also have a Kannada, Tamil, Telugu, Malayala"/>
        <s v="How This Trader Catches Explosive Moves in Equities? Trading Ki Baat with Manas Arora | Episode-4&#10;&#10;0:00 Introduction&#10;0:31 Manas Arora introduction&#10;1:32 Manas Arora's initial trading journey&#10;10:05 Advantage of equity trading over F&amp;O&#10;16:09 Trading for just"/>
        <s v="How To Select Stocks For Option Selling? | Options Trading for beginners&#10;&#10;#optionstrading #optionstradingforbeginners &#10;&#10;For educational videos on trading, please subscribe to the Trading with Groww channel: https://openinapp.co/youtube/trading-with-groww&#10;"/>
        <s v="Reversal Round The Corner For These Beaten Down Stocks? Swing Trading!&#10;&#10;For educational videos on trading, please subscribe to the Trading with Groww channel: https://openinapp.co/youtube/trading-with-groww&#10;&#10;0:00 Introduction&#10;0:43 Stock 1&#10;4:12 Stock 2&#10;8:0"/>
        <s v="How To Trade A Shooting Star Pattern? Trading For Beginners &#10;&#10;For educational videos on trading, please subscribe to the Trading with Groww channel: https://openinapp.co/youtube/trading-with-groww&#10;&#10;We also have a Kannada, Tamil, Telugu, Malayalam, and a M"/>
        <s v="How To Use NSE Website? Trading Analysis!&#10;&#10;&#10;Links &#10;&#10;1. https://www1.nseindia.com/index_nse.htm&#10;2. https://www.nseindia.com/market-data/top-gainers-loosers?cat=G&#10;3. https://www.nseindia.com/market-data/volume-gainers-spurts&#10;4. https://www.nseindia.com/mark"/>
        <s v="How this system trader manages his strategies and risk efficiently | Trading Ki Baat with Prathamesh&#10;&#10;In this video:&#10;0:00 Introduction&#10;0:25 Prathamesh Godbole Introduction&#10;1:15 Trading Journey&#10;3:28 Influence of system trading&#10;5:06 Prathamesh's trading str"/>
        <s v="George Soros: The Man Who Broke The Bank Of England!&#10;&#10;For educational videos on trading, please subscribe to the Trading with Groww channel: https://openinapp.co/youtube/trading-with-groww&#10;&#10;We also have a Kannada, Tamil, Telugu, Malayalam, and a Mutual fu"/>
        <s v="Will Correction Continue In These Adani Stocks? Adani Stocks Lates News!&#10;&#10;In this video:&#10;0:00 Introduction&#10;0:51 Technical analysis of Adani Transmission&#10;5:05 Technical analysis of Adani Power&#10;10:21 Technical analysis of Adani Green&#10;15:00 Conclusion&#10;&#10;For e"/>
        <s v="Where will NIFTY reach next? Technical Analysis &#10;&#10;For educational videos on trading, please subscribe to the Trading with Groww channel: https://openinapp.co/youtube/trading-with-groww&#10;&#10;We also have a Kannada, Tamil, Telugu, Malayalam, and a Mutual fund c"/>
        <s v="How To Draw Perfect Trendlines? Powerful Trading Strategies using Trendlines&#10;&#10;For educational videos on trading, please subscribe to the Trading with Groww channel: https://openinapp.co/youtube/trading-with-groww&#10;&#10;We also have a Kannada, Tamil, Telugu, Ma"/>
        <s v="How This Trader Made it Big Alongside a Job? Trading ki Baat with Ronak Unadkat | Episode 2&#10;&#10;For educational videos on trading, please subscribe to the Trading with Groww channel: https://openinapp.co/youtube/trading-with-groww&#10;&#10;In this video:&#10;0:00 Introd"/>
        <s v="Ed Seykota: The Trend Following Market Wizard!!&#10;&#10;For educational videos on trading, please subscribe to the Trading with Groww channel: https://openinapp.co/youtube/trading-with-groww&#10;&#10;We also have a Kannada, Tamil, Telugu, Malayalam, and a Mutual fund ch"/>
        <s v="For educational videos on trading, please subscribe to the Trading with Groww channel: https://openinapp.co/youtube/trading-with-groww&#10;&#10;We also have a Kannada, Tamil, Telugu, Malayalam, and a Mutual fund channel&#10;&#10;🔔 Groww Kannada -  https://bit.ly/3ekyeKP"/>
        <s v="How To Use The Stochastic Oscillator In Trading&#10;&#10;In this video:&#10;0:00 Introduction&#10;0:46 Difference between leading and lagging indicator&#10;2:52 Advantages of leading indicators&#10;3:29 How to use stochastic oscillator?&#10;6:40 Stochastic oscillator settings&#10;8:30 S"/>
        <s v="Long Buildup, Short Covering, Short Buildup, Long Unwinding Explained!! Option Chain Practicals&#10;&#10;Google sheet: https://docs.google.com/spreadsheets/d/1NqtyMQ6zKPTSWrNsnAZrw1Bt23wfxHFSiCORFggj89c/edit#gid=0&#10;&#10;For educational videos on trading, please subscr"/>
        <s v="How This Engineer Became a Successful Trader? Trading ki Baat with Manu Bhatia &amp; Arjun | Episode 1&#10;&#10;In this video:&#10;0:00 Introduction&#10;0:46 Manu Bhatia Introduction&#10;4:20 Do engineers have an edge in trading?&#10;5:51 Does aggression in trading pay off?&#10;9:00 Per"/>
        <s v="Jessie Livermore: The  Fearful Tale Of A Wall Street Trader From Poverty To Riches And Back Again!!&#10;&#10;&#10;For educational videos on trading, please subscribe to the Trading with Groww channel: https://openinapp.co/youtube/trading-with-groww&#10;&#10;We also have a Ka"/>
        <s v="Top 3 Bullish Stocks For Swing Trading | Technical Analysis (21-09-2022)&#10;&#10;For educational videos on trading, please subscribe to the Trading with Groww channel: https://openinapp.co/youtube/trading-with-groww&#10;&#10;We also have a Kannada, Tamil, Telugu, Malaya"/>
        <s v="Continuation Chart Patterns: The Ultimate Guide for Trading Trending Stocks!!!&#10;&#10;For educational videos on trading, please subscribe to the Trading with Groww channel: https://openinapp.co/youtube/trading-with-groww&#10;&#10;We also have a Kannada, Tamil, Telugu, "/>
        <s v="Discover The Secrets Of Expiry Day Trading | Expiry Trading Strategies &#10;&#10;For educational videos on trading, please subscribe to the Trading with Groww channel: https://openinapp.co/youtube/trading-with-groww&#10;&#10;We also have a Kannada, Tamil, Telugu, Malayal"/>
        <s v="What is India Vix?&#10;&#10;In this video,&#10;0:00 Introduction&#10;0:25 What is volatility in trading?&#10;4:41 What is India VIX?&#10;7:55 Option buying in a high VIX environment &#10;13:01 Option selling in a high VIX environment&#10;&#10;For educational videos on trading, please subscr"/>
        <s v="Top 3 Bullish Stocks For Swing Trading | Technical Analysis&#10;&#10;For educational videos on trading, please subscribe to the Trading with Groww channel: https://openinapp.co/youtube/trading-with-groww&#10;&#10;We also have a Kannada, Tamil, Telugu, Malayalam, and a Mu"/>
        <s v="Jim Simons: The Inspiring Story of How A Math Teacher Became Rich Through Trading&#10;&#10;For educational videos on trading, please subscribe to the Trading with Groww channel: https://openinapp.co/youtube/trading-with-groww&#10;&#10;We also have a Kannada, Tamil, Telug"/>
        <s v="Positional Trading For Beginners (Strategies &amp; Risk Management)&#10;&#10;For educational videos on trading, please subscribe to the Trading with Groww channel: https://openinapp.co/youtube/trading-with-groww&#10;&#10;We also have a Kannada, Tamil, Telugu, Malayalam, and "/>
        <s v="Top 4 Bullish Stocks For Swing Trading | Technical Analysis &#10;&#10;For educational videos on trading, please subscribe to the Trading with Groww channel: https://openinapp.co/youtube/trading-with-groww&#10;&#10;We also have a Kannada, Tamil, Telugu, Malayalam, and a M"/>
        <s v="5 Powerful Ways To Predict Stock Market Trend Reversals | Trading For Beginners&#10;&#10;In this video,&#10;0:00 Introduction&#10;2:02 Trendline method&#10;6:52 Dow theory-based reversal&#10;11:00 Reversal chart patterns&#10;13:25 Volume-based reversal&#10;16:00 RSI divergence &#10;&#10;For edu"/>
        <s v="Pre Market Prep Kaise Kare? | Intraday Trading For Beginners&#10;&#10;Trader's Corner : https://groww.in/p/traders-corner&#10;&#10;For educational videos on trading, please subscribe to the Trading with Groww channel: https://openinapp.co/youtube/trading-with-groww&#10;&#10;We a"/>
        <s v="3 Best Price Action Trading Secrets |The Ultimate Guide&#10;&#10;For educational videos on trading, please subscribe to the Trading with Groww channel: https://openinapp.co/youtube/trading-with-groww&#10;&#10;We also have a Kannada, Tamil, Telugu, Malayalam, and a Mutual"/>
        <s v="You Should Stop Trading If You Are Doing This! Trading For Beginners&#10;&#10;For educational videos on trading, please subscribe to the Trading with Groww channel: https://openinapp.co/youtube/trading-with-groww&#10;&#10;We also have a Kannada, Tamil, Telugu, Malayalam,"/>
        <s v="Top 4 Banking Stocks To Watch Out For | Technical Analysis&#10;&#10;Breakout Trading: https://youtu.be/TV2wu1kJjq8&#10;Volumes in Trading: https://youtu.be/9pzwxxs8IQc&#10;&#10;For educational videos on trading, please subscribe to the Trading with Groww channel: https://ope"/>
        <s v="How To Start Your Trading Journey The Right Way? | Siddharth Bhanushali &amp; Sharique Samsudheen&#10;&#10;For educational videos on trading, please subscribe to the Trading with Groww channel: https://openinapp.co/youtube/trading-with-groww&#10;&#10;We also have a Kannada, "/>
        <s v="ADX Indicator: Use This Tool To Find Momentum In The Market!&#10;&#10;For educational videos on trading, please subscribe to the Trading with Groww channel: https://openinapp.co/youtube/trading-with-groww&#10;&#10;We also have a Kannada, Tamil, Telugu, Malayalam, and a M"/>
        <s v="The 5 Minute Intraday Trading Strategy for Beginners&#10;&#10;For educational videos on trading, please subscribe to the Trading with Groww channel: https://openinapp.co/youtube/trading-with-groww&#10;&#10;0: 00 Introduction &#10;3:51 Mistakes of intraday traders&#10;8:21 Strate"/>
        <s v="What Rule-Based Trading Is All About | Kirubakaran, Vivek Gadodia &amp; Sonam&#10;&#10;For educational videos on trading, please subscribe to the Trading with Groww channel: https://openinapp.co/youtube/trading-with-groww&#10;&#10;We also have a Kannada, Tamil, Telugu, Malay"/>
        <s v="Elliot Wave Theory For Trading | Basics of Elliot Wave&#10;&#10;For educational videos on trading, please subscribe to the Trading with Groww channel: https://openinapp.co/youtube/trading-with-groww&#10;&#10;We also have a Kannada, Tamil, Telugu, Malayalam, and a Mutual "/>
        <s v="Intraday Rule Based Option Selling Strategy | 9:20 Straddle &#10;&#10;In this video,&#10;0:00 Introduction&#10;1:50 Why should we follow a system?&#10;3:42 920 straddle&#10;10:05 Variations&#10;16:07 When to stop following a system?&#10;&#10;For educational videos on trading, please subscri"/>
        <s v="How to use Multiple Indicators for Trading? | Trading Systems&#10;&#10;In this video:&#10;0:39  How to combine trading indicators&#10;3:02 Strategy with ADX &amp; Bollinger band&#10;12:32 Strategy with Supertrend and RSI&#10;18:11 Recap &amp; learnings&#10;&#10;For educational videos on trading"/>
        <s v="Is It Time To Buy Adani Group Of Stocks? Adani Shares Latest News&#10;&#10;For educational videos on trading, please subscribe to the Trading with Groww channel: https://openinapp.co/youtube/trading-with-groww&#10;&#10;We also have a Kannada, Tamil, Telugu, Malayalam, an"/>
        <s v="Stock Trading Vs Index Trading: Which is Better for You? | Trading For Beginners&#10;&#10;For educational videos on trading, please subscribe to the Trading with Groww channel: https://openinapp.co/youtube/trading-with-groww&#10;&#10;We also have a Kannada, Tamil, Telugu"/>
        <s v="Option Chain Analysis: How to Trade Options Effectively | Options Trading&#10;&#10;In this video:&#10;0:00 Introduction&#10;1:35 Understanding option chian&#10;11:44 Option chain trading strategies&#10;17:46 Fin Nifty strategy&#10;22:50 Recap &amp; learnings&#10;&#10;For educational videos on t"/>
        <s v="Opening Range Breakout Strategy | Intraday Trading Strategy &#10;&#10;In this video&#10;0:00 Introduction&#10;0:30 What is ORB Strategy&#10;0:58 ORB trade examples&#10;7:57 ORB strategy backtest&#10;10:20 Recap and learnings&#10;&#10;For educational videos on trading, please subscribe to th"/>
        <s v="Volume Trading: How To Use Volume Indicator For Analysis&#10;&#10;For educational videos on trading, please subscribe to the Trading with Groww channel: https://openinapp.co/youtube/trading-with-groww&#10;&#10;We also have a Kannada, Tamil, Telugu, Malayalam, and a Mutua"/>
        <s v="Option Theta Decay: What You Need To Know Before BUYING OPTIONS | Options Trading&#10;&#10;In this video:&#10;0:00 Introduction&#10;0:36 What is time value?&#10;2:55 How to find the intrinsic value of an option?&#10;4:00 How to find the extrinsic value of an option?&#10;6:19 Impact "/>
        <s v="A Simple and Powerful Equity Intraday Strategy &#10;&#10;In this video,&#10;0:00 Introduction&#10;2:03 Trading Strategy&#10;7:20 Rules for the strategy&#10;9:40 Backtest and result&#10;15:59 How to pick stocks &#10;17:28 Variations&#10;21:14 Recap &#10;&#10;For educational videos on trading, please"/>
        <s v="How to use TradingView charts on Groww ? | Groww App Me TradingView Chart Kaise Dekhe?&#10;&#10;Trade like a Pro with Groww's Integrated TradingView Charts&#10;&#10;In this video, we show how to use TradingView charts on the Groww platform and also educated you about som"/>
        <s v="Van Tharp: The Trader With Most Powerful Trading Principles You'll Ever Hear (Risk Management)&#10;&#10;For educational videos on trading, please subscribe to the Trading with Groww channel: https://openinapp.co/youtube/trading-with-groww&#10;&#10;We also have a Kannada,"/>
        <s v="What should be your realistic return expectations from Stock Market?&#10;&#10;In this video,&#10;0:00 Introduction&#10;0:41 Realistic return from the stock market&#10;3:23 What should be our benchmark?&#10;4:20 Three men in markets&#10;&#10;For educational videos on trading, please subs"/>
        <s v="Dow Theory in Technical Analysis | Everything you need to know!&#10;&#10;In this video&#10;0:00 Introduction&#10;0:38 History of dow theory&#10;1:19 Pillars of dow theory&#10;2:51 Phases of market&#10;5:00 Phases with example&#10;8:23 Market trends &#10;13:18 Price is everything &#10;14:25 Swin"/>
        <s v="How To Set A Proper Stop Loss | Trading For Beginners&#10;&#10;In this &quot;How To Set A Proper Stop Loss | Trading For Beginners&quot; video, we discuss the importance of Stop Loss and answer the crucial question &quot;Where to place Stop Loss&quot;. We also go on to discuss stop "/>
        <s v="OPTION GREEKS: The Five Pillars Of Options Trading | Options Trading For Beginners&#10;&#10;In this video, Vishal Mehta has explained Option greeks in Hindi in a very unique way. We cover Option Greek Delta, and Option Greek Theta along with Gamma, Vega, and Rho."/>
        <s v="Short Straddle Adjustments | Learn How To Manage A Straddle&#10;&#10;In this video:&#10;0:00 Introduction&#10;0:40 Short straddle recap&#10;1:20 Adjustments to short straddle&#10;1:48 Example1&#10;4:12 Rules of adjustment&#10;4:40 Example 1 continued&#10;16:16 Example 2&#10;23:00 Learnings &amp; re"/>
        <s v="Zomato share is falling | Zomato share technical analysis | Zomato share latest news&#10;&#10;For educational videos on trading, please subscribe to the Trading with Groww channel: https://openinapp.co/youtube/trading-with-groww&#10;&#10;We also have a Kannada, Tamil, Te"/>
        <s v="The 6 Most Common Trading Mistakes - Which One Are You Making?&#10;&#10;In this video:&#10;0:00 Introduction&#10;0:33 6 mistakes to avoid&#10;10:00 Recap &amp; learnings&#10;&#10;trading mistakes, trading mistakes to avoid, trading mistakes for beginners, trading mistakes in hindi, trad"/>
        <s v="This is how you stay a step ahead of the market trends: Best leading indicators&#10;&#10;In this video, we will discuss what are leading indicators, their importance, and two prominent leading indicators which are RSI &amp; Stochastic. We will create a simple trading"/>
        <s v="Open Interest Explained - You Will Master Trading After Watching This!&#10;&#10;In this video, we learn all the secrets of Open Interest. We learn how to align our interests along the lines of smart money using open interest. We discover the way to determine supp"/>
        <s v="Bajaj Auto  Vs  Mahindra &amp; Mahindra | Technical analysis of stocks&#10;&#10;In this video, we have compared Nifty Auto and Nifty 50 in terms of technical analysis. We have further gone ahead and done a detailed technical analysis of 2 stocks namely Bajaj Auto Ltd"/>
        <s v="Iron Condor: The Improved Version of Short Strangle &#10;&#10;In this video:&#10;0:00 Introduction&#10;0:30 Strangle recap&#10;0:49 Iron Condor explained&#10;6:54 Strategy building &amp; variations &#10;14:00 Learnings &amp; recap&#10;&#10;For educational videos on trading, please subscribe to the "/>
        <s v="Watch This to Trade Breakouts Like a Pro!&#10;&#10;For educational videos on trading, please subscribe to the Trading with Groww channel: https://openinapp.co/youtube/trading-with-groww&#10;&#10;We also have a Kannada, Tamil, Telugu, Malayalam, and a Mutual fund channel&#10;"/>
        <s v="BTST TRADING STRATEGY.&#10;&#10;BTST Trading involves buying stocks on one day and selling the same on the next day. In this video, we cover everything one needs to know about BTST &amp; STBT Trading including strategies and their risks.&#10;&#10;BTST Trading, STBT Trading, "/>
        <s v="Britannia Technical Analysis | Britannia industries share news | Technical analysis of stocks&#10;&#10;For educational videos on trading, please subscribe to the Trading with Groww channel: https://openinapp.co/youtube/trading-with-groww&#10;&#10;We also have a Kannada, "/>
        <s v="ADD STOP-LOSS TO YOUR INTRADAY ORDERS&#10;&#10;For educational videos on trading, please subscribe to the Trading with Groww channel: https://openinapp.co/youtube/trading-with-groww&#10;&#10;We also have a Kannada, Tamil, Telugu, Malayalam, and a Mutual fund channel&#10;&#10;🔔 "/>
        <s v="Paper Trading For Beginners | Paper Trading Kaise Kare? | Trading For Beginners&#10;&#10;For educational videos on trading, please subscribe to the Trading with Groww channel: https://openinapp.co/youtube/trading-with-groww&#10;&#10;We also have a Kannada, Tamil, Telugu,"/>
        <s v="ITC Technical Analysis - This Is What You Need To Know&#10;&#10;For educational videos on trading, please subscribe to the Trading with Groww channel: https://openinapp.co/youtube/trading-with-groww&#10;&#10;We also have a Kannada, Tamil, Telugu, Malayalam, and a Mutual "/>
        <s v="Butterfly: Best Option Strategy For Beginners, Low-Risk High Reward&#10;&#10;In this video:&#10;0:00 Introduction &#10;0:55 Options recap&#10;3:24 Different types of Butterfly&#10;5:07 Long Call Butterfly&#10;6:00 Long Put Butterfly&#10;6:58 Examples using option builder&#10;15:04 Recap and"/>
        <s v="Trend Following vs Mean Reversion - Which One Is Better? | Mean Reversion vs Momentum&#10;&#10;For educational videos on trading, please subscribe to the Trading with Groww channel: https://openinapp.co/youtube/trading-with-groww&#10;&#10;We also have a Kannada, Tamil, T"/>
        <s v="This Tool Will Show You Everything You Need To Know About Support And Resistance Levels In Trading&#10;&#10;In this video,&#10;0:00 Introduction&#10;3:35 Strategy discussion &#10;3:55 Example 1&#10;6:10 Example 2&#10;7:54 Recap and learnings&#10;For educational videos on trading, please"/>
        <s v="Heiken Ashi Trading Strategy for Beginners&#10;&#10;In this video,&#10;0:00 Introduction&#10;0:47 What is Heiken-Ashi&#10;1:23 Uses &#10;4:02 Interpreting Heiken-Ashi&#10;8:11 Strategy&#10;10:30 Recap &amp; Learnings &#10;&#10;For educational videos on trading, please subscribe to the Trading with "/>
        <s v="Top 5 Swing Trading Signals to Watch Out | Trade Ideas For This Week&#10;&#10;In this video:&#10;0:00 Introduction&#10;1:05 Donchain Channel strategy&#10;5:30 Trade Idea #1&#10;6:52 Trade Idea #2&#10;9:00 Trade Idea #3&#10;11:46 Trade Idea #4&#10;13:50 Trade Idea #5&#10;16:01 Recap and learning"/>
        <s v="Scalping Trading Strategy - How Scalping Works and How to do it&#10;&#10;For educational videos on trading, please subscribe to the Trading with Groww channel: https://openinapp.co/youtube/trading-with-groww&#10;&#10;In this video,&#10;0:00 Introduction&#10;0:36 What is scalping"/>
        <s v="How to Trade Options For Maximum Profit - Using a Bull Call and Bear Put Strategy&#10;&#10;In this video,&#10;0:00 Introduction&#10;0:50 Different ways to trade&#10;1:43 Bull Call Spread&#10;2:10 Example of a winning trade (Bull Call Spread)&#10;6:53 Example of a loss-making trade ("/>
        <s v="4 Methods for Selecting Stocks for Intraday Trading | Trading for Beginners | Trendlyne screener&#10;&#10;In this video,&#10;0:00 Introduction&#10;1:58 Different ways to select stocks&#10;2:22 Liquidity&#10;5:40 Top Gaines &amp; Losers&#10;9:30 Watchlist&#10;11:50 Use of Screeners (Trendlyn"/>
        <s v="Simple Positional Option Trading Strategy&#10;&#10;In this video:&#10;0:00 Introduction&#10;0:52 Things needed for this strategy&#10;2:27 Timeframe for this strategy&#10;2:40 Criteria for this strategy&#10;7:23 Using options&#10;14:48 Conclusion &amp; recommendations&#10; &#10;&#10;&#10;For educational vid"/>
        <s v="Put Call Ratio Explained: The Right Way To Interpret Put Call Ratio&#10;&#10;In this video,&#10;0:00 Introduction&#10;0:36 What is Put Call ratio?&#10;2:05 How to find PCR from NSE?&#10;3:54 How to interpret PCR?&#10;7:55 Limitations of PCR&#10;8:40 Better way to find Put Call ratio&#10;&#10;Pu"/>
        <s v="Top 5 Bollinger Bands Trade Signals For This Week&#10;&#10;For educational videos on trading, please subscribe to the Trading with Groww channel: https://openinapp.co/youtube/trading-with-groww&#10;&#10;We also have a Kannada, Tamil, Telugu, Malayalam, and a Mutual fund "/>
        <s v="How To Trade A Bear Market To Make Big Profits: The Secrets of Trading&#10;&#10;This video will show you the secrets to trading in the bear market. You see, bear markets are actually a good time period to trade  - it's just not what most people think. In fact, it"/>
        <s v="Learn The Different Types Of Trading And Which One Is Right For You | Trading For Beginners&#10;&#10;For educational videos on trading, please subscribe to the Trading with &#10;Groww channel: https://openinapp.co/youtube/trading-with-groww&#10;&#10;We also have a Kannada, T"/>
        <s v="3 Stocks To Watch Out For: Swing Trading This Week&#10;Strategy link : https://youtu.be/NLeV745YkHc&#10;&#10;For educational videos on trading, please subscribe to the Trading with Groww channel: https://openinapp.co/youtube/trading-with-groww&#10;&#10;We also have a Kannada"/>
        <s v="How To Keep a Trading Journal: The Definitive Guide&#10;&#10;Excel sheet : https://docs.google.com/spreadsheets/d/16MUJvNsuLz4Um12HZ1JnGLAp-iydmZBe/edit?usp=sharing&amp;ouid=105312322099270265396&amp;rtpof=true&amp;sd=true&#10;&#10;For educational videos on trading, please subscribe"/>
        <s v="VWAP Strategy: The Ultimate Mean Reversion Indicator For Option Buying | Option Buying Strategy&#10;&#10;For educational videos on trading, please subscribe to the Trading with Groww channel: https://openinapp.co/youtube/trading-with-groww&#10;&#10;We also have a Kannada"/>
        <s v="The 6 Point Checklist To Start Your F&amp;O Trading Like A PRO&#10;&#10;For educational videos on trading, please subscribe to the Trading with Groww channel: https://openinapp.co/youtube/trading-with-groww&#10;&#10;We also have a Kannada, Tamil, Telugu, Malayalam, and a Mut"/>
        <s v="The Untold Secret of Ichimoku Trading: All You Need To Know About Trading With a Cloud For Success&#10;&#10;Ichimoku is a Japanese technical trading system that is heavily based on the use of price action and momentum. Ichimoku is a very powerful trading strategy"/>
        <s v="Swing Trading Strategy for Beginners  | Trading For Beginners&#10;&#10;For educational videos on trading, please subscribe to the Trading with Groww channel: https://openinapp.co/youtube/trading-with-groww&#10;&#10;We also have a Kannada, Tamil, Telugu, Malayalam, and a "/>
        <s v="Best Supertrend Trading Strategy for Day Trading &amp; Swing Trading&#10;&#10;In this video, we discuss about how to use Supertrend and Moving average indicators to get the best trading setup for day trading and swing trading. | Trading For Beginners&#10;&#10;For educational"/>
        <s v="Price Action Trading | How to Trade Channels | Trading for beginners&#10;&#10;For educational videos on trading, please subscribe to the Trading with Groww channel: https://openinapp.co/youtube/trading-with-groww&#10;&#10;We also have a Kannada, Tamil, Telugu, Malayalam,"/>
        <s v="Fibonacci retracement for Intraday Trading | Intraday Trading Strategies for beginners&#10;&#10;For educational videos on trading, please subscribe to the Trading with Groww channel: https://openinapp.co/youtube/trading-with-groww&#10;&#10;We also have a Kannada, Tamil, "/>
        <s v="Moving Average Indicator Strategies | Intraday Strategies for Beginners &#10;&#10;For educational videos on trading, please subscribe to the Trading with Groww channel: https://openinapp.co/youtube/trading-with-groww&#10;&#10;We also have a Kannada, Tamil, Telugu, Malaya"/>
        <s v="Risk Management in Trading | Money Management &amp; Position Sizing for Intraday Trading&#10;&#10;For educational videos on trading, please subscribe to the Trading with Groww channel: https://openinapp.co/youtube/trading-with-groww&#10;&#10;We also have a Kannada, Tamil, Te"/>
        <s v="Types of Orders in Stock Market | Market Order Vs Limit Order&#10;&#10;For educational videos on trading, please subscribe to the Trading with Groww channel: https://openinapp.co/youtube/trading-with-groww&#10;&#10;We also have a Kannada, Tamil, Telugu, Malayalam, and a "/>
        <s v="Future and Option Terminologies Explained | Option Trading for Beginners&#10;&#10;For educational videos on trading, please subscribe to the Trading with &#10;&#10;Groww channel: https://openinapp.co/youtube/trading-with-groww&#10;&#10;We also have a Kannada, Tamil, Telugu, Mala"/>
        <s v="What are Support &amp; Resistance in Trading &amp; How to use them to Trade Breakouts? (Hindi)&#10;&#10;For educational videos on trading, please subscribe to the Trading with Groww channel: https://openinapp.co/youtube/trading-with-groww&#10;&#10;We also have a Kannada, Tamil, "/>
        <s v="Intraday Entry &amp; Exit| How to find the right entry and exit| Intraday Trading for Beginners&#10;&#10;For educational videos on trading, please subscribe to the Trading with &#10;Groww channel: https://openinapp.co/youtube/trading-with-groww&#10;&#10;We also have a Kannada, T"/>
        <s v="Trailing Stop Loss | Top 3 Trailing Stop-Loss Techniques | Intraday Trading for Beginners&#10;&#10;For educational videos on trading, please subscribe to the Trading with &#10;Groww channel: https://openinapp.co/youtube/trading-with-groww&#10;&#10;We also have a Kannada, Tam"/>
        <s v="Options Trading: Covered Call | Options Trading for Beginners&#10;&#10;For educational videos on trading, please subscribe to the Trading with Groww channel: https://openinapp.co/youtube/trading-with-groww&#10;&#10;We also have a Kannada, Tamil, Telugu, Malayalam, and a "/>
        <s v="Which is the Best Timeframe to Trade for Beginners | Best Timeframe for Intraday Trading&#10;&#10;For educational videos on trading, please subscribe to the Trading with Groww channel: https://openinapp.co/youtube/trading-with-groww&#10;&#10;We also have a Kannada, Tamil"/>
        <s v="Options Trading: Straddle and Strangle | Options Trading for Beginners&#10;&#10;For educational videos on trading, please subscribe to the Trading with &#10;Groww channel: https://openinapp.co/youtube/trading-with-groww&#10;&#10;We also have a Kannada, Tamil, Telugu, Malayal"/>
        <s v="Top 5 Trading Indicators: What they are and how to use them | Intraday Trading for beginners&#10;In this Top 5 Trading Indicators video, we discuss 5 simple yet powerful trading indicators that are most frequently used in the markets. &#10;&#10;For educational videos"/>
        <s v="How to use Indicators on Groww | Exploring Features of Groww Web Platform &#10;For educational videos on trading, please subscribe to the Trading with Groww channel: https://openinapp.co/youtube/trading-with-groww&#10;&#10;We also have a Kannada, Tamil, Telugu, Malay"/>
        <s v="Strongest Candlestick Pattern | Intraday Trading Pattern for Beginners&#10;For educational videos on trading, please subscribe to the Trading with Groww channel: https://openinapp.co/youtube/trading-with-groww&#10;&#10;We also have a Kannada, Tamil, Telugu, Malayalam"/>
        <s v="5 Breakdown Stocks You Should Watch | Intraday Trading for Beginners&#10;&#10;For educational videos on trading, please subscribe to the Trading with Groww channel: https://openinapp.co/youtube/trading-with-groww&#10;&#10;We also have a Kannada, Tamil, Telugu, Malayalam,"/>
        <s v="In this Breakout &amp; False Breakouts video, we discuss how to Trade Breakouts with appropriate targets and stoploss.&#10;&#10;For educational videos on trading, please subscribe to the Trading with Groww channel: https://openinapp.co/youtube/trading-with-groww&#10;&#10;We "/>
        <s v="RSI - RSI Trading Strategy for Beginners | Trading with Groww&#10;In this RSI video, we talk about a powerful indicator called RSI which stands for Relative Strength Index. We discuss how to trade using this strategy and have a good success rate. &#10;&#10;For educat"/>
        <s v="Morning Star Candlestick Pattern - Trading pattern for Intraday Trading | Trading with Groww&#10;In this Morning Star Candlestick Pattern video, we discuss how to find the pattern and how best to combine it with Indicators such as RSI &amp; Bollinger Bands to inc"/>
        <s v="Technical analysis NIFTY | Moving Average | Trading with Groww &#10;&#10;For educational videos on trading, please subscribe to the Trading with Groww channel: https://openinapp.co/youtube/trading-with-groww&#10;&#10;We also have a Kannada, Tamil, Telugu, Malayalam, and "/>
        <s v="Support and Resistance | Trading with Groww&#10;In this Support and Resistance video, we explain how to figure out key support and resistance levels and how to trade them. We also understand breakout and false breakout instances in trading.&#10;For educational vi"/>
        <s v="Which Option is Better - Buying or Selling?&#10;In this Option Buying vs Selling video, we discuss the margin requirements to buy &amp; sell options, when to buy and when to sell options.&#10;&#10;For educational videos on trading, please subscribe to the Trading with Gr"/>
        <s v="In this video Introducing Aseem Singhal, Aseem talks about his journey as a Fund Manager and the various experiences he's had. He further goes on to talk about the important questions one needs to ask themselves to be a successful trader. &#10;&#10;For educationa"/>
        <s v="Technical analysis of HDFC &amp; Infosys | Technical analysis of stocks&#10;&#10;In the Technical analysis of HDFC &amp; Infosys video, we have analyzed HDFC Bank stock &amp; Infosys stock from a technical analysis point of view in weekly and daily time frame with Moving ave"/>
        <s v="How to master Trading [5 Psychology hacks]&#10;&#10;In this &quot;How to master Trading&quot; video we shall discuss 5 Psychology hacks that help you become a better trader. Do watch the video till the end to transform your trading career.&#10;&#10;For educational videos on tradin"/>
        <s v="3 Golden Rules to spot Stock Trends | Trading with Groww&#10;For educational videos on trading, please subscribe to the Trading with Groww channel: https://openinapp.co/youtube/trading-with-groww&#10;&#10;We also have a Kannada, Tamil, Telugu, Malayalam, and a Mutual"/>
        <s v="Option trading for beginners: How to trade Options on Groww &#10;&#10;In this option trading for beginners video, we cover about basics of options trading which include call options, put options and also which option to buy when the market is bullish and bearish."/>
        <s v="ITC Share Technical Analysis | ITC Share latest news | Trading with Groww&#10;&#10;For educational videos on trading, please subscribe to the Trading with Groww channel: https://openinapp.co/youtube/trading-with-groww&#10;&#10;We also have a Kannada, Tamil, Telugu, Malay"/>
        <s v="In this video, we have discussed how to use the VWAP strategy for intraday trading.&#10;&#10;For educational videos on trading, please subscribe to the Trading with Groww channel: https://openinapp.co/youtube/trading-with-groww&#10;&#10;0:00 Disclaimer&#10;0:05 Introduction&#10;"/>
        <s v="Intraday Trading for beginners &amp; how to do it on Groww | Trading with Groww&#10;&#10;For educational videos on trading, please subscribe to the Trading with Groww channel: https://openinapp.co/youtube/trading-with-groww&#10;&#10;We also have a Kannada, Tamil, Telugu, Mal"/>
        <s v="Technical analysis of Adani Wilmar | Latest analysis and update&#10;&#10;For educational videos on trading, please subscribe to the Trading with Groww channel: https://openinapp.co/youtube/trading-with-groww&#10;&#10;We also have a Kannada, Tamil, Telugu, Malayalam, and "/>
        <s v="How to get started with trading | Trading for beginners&#10;&#10;#tradingwithgroww &#10;&#10;For educational videos on trading, please subscribe to the Trading with Groww channel: https://openinapp.co/youtube/trading-with-groww&#10;&#10;We also have a Kannada, Tamil, Telugu, Mal"/>
        <s v="Top 5 Bullish MACD Stocks | Trading with Groww&#10;&#10;For educational videos on trading, please subscribe to the Trading with Groww channel: https://openinapp.co/youtube/trading-with-groww&#10;&#10;We also have a Kannada, Tamil, Telugu, Malayalam, and a Mutual fund cha"/>
        <s v="How to set a stop-loss while trading | Trading with Groww&#10;&#10;For educational videos on trading, please subscribe to the Trading with Groww channel: https://openinapp.co/youtube/trading-with-groww&#10;&#10;We also have a Kannada, Tamil, Telugu, Malayalam, and a Mutu"/>
        <s v="Top 5 momentum stocks | Trading with Groww&#10;&#10;For educational videos on trading, please subscribe to the Trading with Groww channel: https://openinapp.co/youtube/trading-with-groww&#10;&#10;We also have a Kannada, Tamil, Telugu, Malayalam, and a Mutual fund channel"/>
        <s v="How to find momentum stocks | Trading with Groww&#10;&#10;For educational videos on trading, please subscribe to the Trading with Groww channel: https://openinapp.co/youtube/trading-with-groww&#10;&#10;We also have a Kannada, Tamil, Telugu, Malayalam, and a Mutual fund c"/>
        <s v="Paytm analysis: Technical analysis of PayTm | Why is Paytm stock going down? | Paytm share&#10;&#10;For educational videos on trading, please subscribe to the Trading with Groww channel: https://openinapp.co/youtube/trading-with-groww&#10;&#10;We also have a Kannada, Tam"/>
        <s v="How to trade during volatile markets | Trading with Groww&#10;&#10;For educational videos on trading, please subscribe to the Trading with Groww channel:&#10;https://openinapp.co/youtube/trading-with-groww&#10;&#10;We also have a Kannada, Tamil, Telugu, Malayalam, and a Mutu"/>
        <s v="10 tips to become a better trader | Trading for beginners | Trading with Groww&#10;&#10;For educational videos on trading, please subscribe to the Trading with Groww channel:&#10;https://openinapp.co/youtube/trading-with-groww&#10;&#10;We also have a Kannada, Tamil, Telugu, "/>
        <s v="Top 5 breakdown stocks | Trading with Groww&#10;&#10;Research Analyst disclaimer: https://groww.in/p/sebi-research-analyst-regulations&#10;Name of the RA: Himanshu Sinha&#10;Name of the narrator: Manek Agicha&#10;Date: 02 March 2022&#10;&#10;For educational videos on trading, please"/>
        <s v="Best trading strategy: Price action trading strategies in Hindi | Trading for beginners&#10;&#10;Research Analyst disclaimer: https://groww.in/p/sebi-research-analyst-regulations&#10;Name of the RA: Himanshu Sinha&#10;Name of the narrator: Manek Agicha&#10;Date: Feb 18, 2022"/>
        <s v="Best trading strategy: How to trade when stock breaks | Trading for beginners&#10;&#10;Research Analyst disclaimer: https://groww.in/p/sebi-research-analyst-regulations&#10;&#10;For educational videos on trading, please subscribe to Trading with Groww channel:&#10;https://op"/>
        <s v="Candlestick Patterns for Beginners | Candlestick Analysis | Candlestick Chart | Trading with @Groww  &#10;&#10;You can also watch this video in English: https://youtu.be/p2vf07qbBig&#10;&#10;Research Analyst disclaimer: https://groww.in/p/sebi-research-analyst-regulation"/>
        <s v="[Tutorial] Technical analysis of stocks for beginners | Trading with @Groww for beginners&#10;&#10;#tradingforbeginners &#10;&#10;Research Analyst disclaimer: https://groww.in/p/sebi-research-analyst-regulations&#10;&#10;For educational videos on trading, please subscribe to the"/>
        <s v="How to trade on a Budget day | Trading strategies during Budget 2022 | Union Budget 2022 | Nirmala Sitharaman | Trading with Groww&#10;&#10;Research Analyst disclaimer: https://groww.in/p/sebi-research-analyst-regulations&#10;&#10;For educational videos on trading, pleas"/>
        <s v="Candlestick Patterns for Beginners | Candlestick Analysis | Candlestick Chart | Trading with @Groww &#10;&#10;Research Analyst disclaimer: https://groww.in/p/sebi-research-analyst-regulations&#10;&#10;For educational videos on trading, please subscribe to Trading with Gr"/>
        <s v="What are volumes? How to analyze volumes to make trading strategies? | Trading for beginners&#10;&#10;For educational videos on trading, please subscribe to Trading with Groww channel:&#10;https://openinapp.co/youtube/trading-with-groww&#10;&#10;We also have a Kannada, Tamil"/>
        <s v="How to use Hanging Man candlestick pattern to trade | Trading for beginners | Trading with Groww&#10;&#10;For educational videos on trading, please subscribe to the Trading with Groww channel:&#10;https://openinapp.co/youtube/trading-with-groww&#10;&#10;We also have a Kannad"/>
        <s v="How to trade using Doji Candlestick pattern | Technical analysis | Doji candlestick trading strategy&#10;&#10;In this video, we have illustrated how to trade using the Doji candlestick in trading strategy&#10;&#10;For educational videos on trading, please subscribe to Tr"/>
        <s v="How to trade using Hammer Candlestick | Technical analysis | Hammer candlestick trading strategy&#10;&#10;In this video, we have illustrated how to trade using the Hammer Candlestick strategy&#10;&#10;For educational videos on trading, please subscribe to the Trading wit"/>
        <s v="Candlesticks for beginners | Candlestick patterns in Hindi | Trading with Groww&#10;&#10;For educational videos on trading, please subscribe to Trading with Groww channel:&#10;https://openinapp.co/youtube/trading-with-groww&#10;&#10;We also have a Kannada, Tamil, Telugu, Mal"/>
        <s v="Technical analysis of RBL Bank | Trading strategy | Trading for beginners&#10;&#10;For educational videos on trading, please subscribe to Trading with Groww channel:&#10;https://openinapp.co/youtube/trading-with-groww&#10;&#10;We also have a Kannada, Tamil, Telugu, Malayalam"/>
        <s v="CAMS share technical analysis: CAMS Chart analysis | CAMS latest news | Trading with Groww&#10;&#10;For educational videos on trading, please subscribe to Trading with Groww channel:&#10;https://openinapp.co/youtube/trading-with-groww&#10;&#10;We also have a Kannada, Tamil, "/>
        <s v="What are Options contract in F &amp; O | Options Trading Explained | Futures Trading For Beginners | Trading with Groww&#10;&#10;#futures #options #trading&#10;&#10;In this video we have spoken about options contract and its key features in detail.&#10;&#10;For educational videos on"/>
        <s v="Bajaj Finance share technical analysis: Bajaj Finance Chart analysis | Bajaj Finance share latest news&#10;&#10;In this video on the technical analysis of Bajaj Finance we have discussed the chart patterns formed by the stock in its previous trading sessions.&#10;&#10;Fo"/>
        <s v="Asian Paints share technical analysis: Asian Paints Chart analysis | Asian Paints share latest news&#10;&#10;In this video on the technical analysis of Asian Paints we have discussed the chart patterns formed by the stock in its previous trading sessions.&#10;&#10;For ed"/>
        <s v="What are Futures contract in F &amp; O | Futures Trading Explained | Futures Trading For Beginners | Trading with Groww&#10;&#10;#futures #options #trading&#10;&#10;In this video we have spoken about futures contract and its key features in detail.&#10;&#10;For educational videos on"/>
        <s v="Technical analysis of CDSL | CDSL share chart analysis | Trading with Groww&#10;&#10;In this video we have technically analysed the CDSL and discussed the chart patterns formed by CDSL in the previous trading sessions.&#10;&#10;For educational videos on trading, please s"/>
        <s v="Technical analysis of Laurus labs | Laurus labs share | Chart analysis | Trading with Groww&#10;&#10;In this video we have technically analysed the Laurus Labs and discussed the chart patterns formed by Laurus Labs in the previous trading sessions.&#10;&#10;For more educ"/>
        <s v="Volatility Contraction Pattern (VCP) - How to trade using VCP Chart Pattern | Trading for beginners&#10;&#10;For educational videos on trading, please subscribe to Trading with Groww channel:&#10;https://openinapp.co/youtube/trading-with-groww&#10;&#10;We also have a Kannada"/>
        <s v="Basics of Futures and Options (F&amp;O) | Futures and Options explained | Futures Trading for beginners&#10;&#10;In this video we have spoken about the basics of Futures and Options (F&amp;O)&#10;&#10;For educational videos on trading, please subscribe to Trading with Groww chan"/>
        <s v="How to use charts and indicators on Groww | Trading strategy | Intraday trading for beginners&#10;&#10;In this video, we have spoken on how to use charts and indicators on Groww &#10;&#10;For educational videos on trading, please subscribe to Trading with Groww channel:&#10;"/>
        <s v="Trading for beginners: Flag &amp; Pole pattern | Rectangle pattern | Technical analysis for beginners&#10;&#10;#tradingforbeginners #tradingwithgroww #groww&#10;&#10;In this trading for beginners video, we have spoken about Flag &amp; Pole pattern, Rectangle Pattern.&#10;&#10;For educat"/>
        <s v="Moving average indicator for Intraday trading - Trading for beginners&#10;&#10;In this video we have spoken about moving average indicator in detail.&#10;&#10;For educational videos on trading, please subscribe to Trading with Groww channel:&#10;https://openinapp.co/youtube/"/>
        <s v="Trading for beginners: Bollinger band indicator | Intraday trading strategy&#10;&#10;In this video on Trading for beginners we have illustrated Bollinger band indicator.&#10;&#10;For educational videos on trading, please subscribe to Trading with Groww channel:&#10;https://o"/>
        <s v="Trading for beginners: Double top &amp; Double bottom pattern | Head &amp; shoulders pattern&#10;&#10;In this trading for beginners video, we have illustrated how to use the Double top &amp; Double bottom pattern and Head &amp; shoulders pattern in your trading strategies in det"/>
        <s v="Trading for beginners: Stochastic indicator | Technical analysis | Trading with Groww&#10;&#10;In this technical analysis video we have illustrated how to use Stochastic indicator in detail.&#10;&#10;For educational videos on trading, please subscribe to Trading with Gro"/>
        <s v="Trading for beginners: Wedges, Cup &amp; Handle chart pattern | Technical analysis | Trading with Groww&#10;&#10;In this technical analysis video we have illustrated how to use Wedges, Cup &amp; Handle chart pattern in detail.&#10;&#10;For educational videos on trading, please s"/>
        <s v="MACD indicator explained - How to use MACD indicator for trading strategy&#10;&#10;#macdindicator #macd #trading&#10;&#10;In this video we spoke about MACD indicator and how to use it effectively in trading strategy.&#10;&#10;For educational videos on trading, please subscribe t"/>
        <s v="Trading for beginners: Introduction to Indicators &amp; Chart Patterns | Stock Trading with Groww&#10;&#10;In this introduction video we spoke about chart patterns and indicators and how to use them in stock trading in detail.&#10;&#10;#trading #stocktrading #chartpatterns #"/>
      </sharedItems>
    </cacheField>
    <cacheField name="Published Date" numFmtId="164">
      <sharedItems containsSemiMixedTypes="0" containsDate="1" containsString="0">
        <d v="2025-12-21T00:00:00Z"/>
        <d v="2025-12-18T00:00:00Z"/>
        <d v="2025-12-17T00:00:00Z"/>
        <d v="2025-12-12T00:00:00Z"/>
        <d v="2025-12-09T00:00:00Z"/>
        <d v="2025-12-03T00:00:00Z"/>
        <d v="2025-12-01T00:00:00Z"/>
        <d v="2025-11-29T00:00:00Z"/>
        <d v="2025-11-27T00:00:00Z"/>
        <d v="2025-11-25T00:00:00Z"/>
        <d v="2025-11-23T00:00:00Z"/>
        <d v="2025-11-21T00:00:00Z"/>
        <d v="2025-11-15T00:00:00Z"/>
        <d v="2025-11-09T00:00:00Z"/>
        <d v="2025-11-08T00:00:00Z"/>
        <d v="2025-11-04T00:00:00Z"/>
        <d v="2025-10-31T00:00:00Z"/>
        <d v="2025-10-27T00:00:00Z"/>
        <d v="2025-10-25T00:00:00Z"/>
        <d v="2025-10-23T00:00:00Z"/>
        <d v="2025-10-20T00:00:00Z"/>
        <d v="2025-10-15T00:00:00Z"/>
        <d v="2025-10-12T00:00:00Z"/>
        <d v="2025-10-10T00:00:00Z"/>
        <d v="2025-10-05T00:00:00Z"/>
        <d v="2025-09-28T00:00:00Z"/>
        <d v="2025-09-27T00:00:00Z"/>
        <d v="2025-09-21T00:00:00Z"/>
        <d v="2025-09-20T00:00:00Z"/>
        <d v="2025-09-12T00:00:00Z"/>
        <d v="2025-09-09T00:00:00Z"/>
        <d v="2025-09-06T00:00:00Z"/>
        <d v="2025-09-04T00:00:00Z"/>
        <d v="2025-09-03T00:00:00Z"/>
        <d v="2025-08-31T00:00:00Z"/>
        <d v="2025-08-29T00:00:00Z"/>
        <d v="2025-08-27T00:00:00Z"/>
        <d v="2025-08-24T00:00:00Z"/>
        <d v="2025-08-21T00:00:00Z"/>
        <d v="2025-08-17T00:00:00Z"/>
        <d v="2025-08-15T00:00:00Z"/>
        <d v="2025-08-09T00:00:00Z"/>
        <d v="2025-08-05T00:00:00Z"/>
        <d v="2025-08-03T00:00:00Z"/>
        <d v="2025-08-01T00:00:00Z"/>
        <d v="2025-07-29T00:00:00Z"/>
        <d v="2025-07-26T00:00:00Z"/>
        <d v="2025-07-24T00:00:00Z"/>
        <d v="2025-07-16T00:00:00Z"/>
        <d v="2025-07-13T00:00:00Z"/>
        <d v="2025-07-09T00:00:00Z"/>
        <d v="2025-07-08T00:00:00Z"/>
        <d v="2025-07-01T00:00:00Z"/>
        <d v="2025-06-26T00:00:00Z"/>
        <d v="2025-06-25T00:00:00Z"/>
        <d v="2025-06-23T00:00:00Z"/>
        <d v="2025-06-21T00:00:00Z"/>
        <d v="2025-06-19T00:00:00Z"/>
        <d v="2025-06-17T00:00:00Z"/>
        <d v="2025-06-16T00:00:00Z"/>
        <d v="2025-06-15T00:00:00Z"/>
        <d v="2025-06-14T00:00:00Z"/>
        <d v="2025-06-11T00:00:00Z"/>
        <d v="2025-06-10T00:00:00Z"/>
        <d v="2025-06-08T00:00:00Z"/>
        <d v="2025-06-07T00:00:00Z"/>
        <d v="2025-06-05T00:00:00Z"/>
        <d v="2025-06-01T00:00:00Z"/>
        <d v="2025-05-31T00:00:00Z"/>
        <d v="2025-05-29T00:00:00Z"/>
        <d v="2025-05-28T00:00:00Z"/>
        <d v="2025-05-24T00:00:00Z"/>
        <d v="2025-05-23T00:00:00Z"/>
        <d v="2025-05-21T00:00:00Z"/>
        <d v="2025-05-19T00:00:00Z"/>
        <d v="2025-05-15T00:00:00Z"/>
        <d v="2025-05-13T00:00:00Z"/>
        <d v="2025-05-10T00:00:00Z"/>
        <d v="2025-05-08T00:00:00Z"/>
        <d v="2025-05-07T00:00:00Z"/>
        <d v="2025-04-16T00:00:00Z"/>
        <d v="2025-04-06T00:00:00Z"/>
        <d v="2025-03-29T00:00:00Z"/>
        <d v="2025-03-24T00:00:00Z"/>
        <d v="2025-03-22T00:00:00Z"/>
        <d v="2025-03-18T00:00:00Z"/>
        <d v="2025-03-15T00:00:00Z"/>
        <d v="2025-03-10T00:00:00Z"/>
        <d v="2025-03-06T00:00:00Z"/>
        <d v="2025-03-04T00:00:00Z"/>
        <d v="2025-03-02T00:00:00Z"/>
        <d v="2025-02-26T00:00:00Z"/>
        <d v="2025-02-24T00:00:00Z"/>
        <d v="2025-02-22T00:00:00Z"/>
        <d v="2025-02-20T00:00:00Z"/>
        <d v="2025-02-17T00:00:00Z"/>
        <d v="2025-02-14T00:00:00Z"/>
        <d v="2025-02-12T00:00:00Z"/>
        <d v="2025-02-10T00:00:00Z"/>
        <d v="2025-02-08T00:00:00Z"/>
        <d v="2025-02-05T00:00:00Z"/>
        <d v="2025-02-03T00:00:00Z"/>
        <d v="2025-02-01T00:00:00Z"/>
        <d v="2025-01-28T00:00:00Z"/>
        <d v="2025-01-25T00:00:00Z"/>
        <d v="2025-01-23T00:00:00Z"/>
        <d v="2025-01-21T00:00:00Z"/>
        <d v="2025-01-18T00:00:00Z"/>
        <d v="2025-01-16T00:00:00Z"/>
        <d v="2025-01-14T00:00:00Z"/>
        <d v="2025-01-11T00:00:00Z"/>
        <d v="2025-01-09T00:00:00Z"/>
        <d v="2025-01-05T00:00:00Z"/>
        <d v="2025-01-03T00:00:00Z"/>
        <d v="2024-12-31T00:00:00Z"/>
        <d v="2024-12-28T00:00:00Z"/>
        <d v="2024-12-26T00:00:00Z"/>
        <d v="2024-12-22T00:00:00Z"/>
        <d v="2024-12-19T00:00:00Z"/>
        <d v="2024-12-14T00:00:00Z"/>
        <d v="2024-12-11T00:00:00Z"/>
        <d v="2024-12-04T00:00:00Z"/>
        <d v="2024-11-30T00:00:00Z"/>
        <d v="2024-11-27T00:00:00Z"/>
        <d v="2024-11-23T00:00:00Z"/>
        <d v="2024-11-17T00:00:00Z"/>
        <d v="2024-11-02T00:00:00Z"/>
        <d v="2024-10-26T00:00:00Z"/>
        <d v="2024-10-19T00:00:00Z"/>
        <d v="2024-10-17T00:00:00Z"/>
        <d v="2024-10-12T00:00:00Z"/>
        <d v="2024-10-05T00:00:00Z"/>
        <d v="2024-09-28T00:00:00Z"/>
        <d v="2024-09-25T00:00:00Z"/>
        <d v="2024-09-21T00:00:00Z"/>
        <d v="2024-09-18T00:00:00Z"/>
        <d v="2024-09-14T00:00:00Z"/>
        <d v="2024-09-11T00:00:00Z"/>
        <d v="2024-09-07T00:00:00Z"/>
        <d v="2024-09-04T00:00:00Z"/>
        <d v="2024-08-31T00:00:00Z"/>
        <d v="2024-08-28T00:00:00Z"/>
        <d v="2024-08-24T00:00:00Z"/>
        <d v="2024-08-21T00:00:00Z"/>
        <d v="2024-08-17T00:00:00Z"/>
        <d v="2024-08-10T00:00:00Z"/>
        <d v="2024-08-02T00:00:00Z"/>
        <d v="2024-07-28T00:00:00Z"/>
        <d v="2024-07-19T00:00:00Z"/>
        <d v="2024-07-14T00:00:00Z"/>
        <d v="2024-07-06T00:00:00Z"/>
        <d v="2024-06-30T00:00:00Z"/>
        <d v="2024-06-22T00:00:00Z"/>
        <d v="2024-06-15T00:00:00Z"/>
        <d v="2024-06-09T00:00:00Z"/>
        <d v="2024-06-03T00:00:00Z"/>
        <d v="2024-05-30T00:00:00Z"/>
        <d v="2024-05-28T00:00:00Z"/>
        <d v="2024-05-25T00:00:00Z"/>
        <d v="2024-05-23T00:00:00Z"/>
        <d v="2024-05-21T00:00:00Z"/>
        <d v="2024-05-18T00:00:00Z"/>
        <d v="2024-05-16T00:00:00Z"/>
        <d v="2024-05-14T00:00:00Z"/>
        <d v="2024-05-11T00:00:00Z"/>
        <d v="2024-05-09T00:00:00Z"/>
        <d v="2024-05-07T00:00:00Z"/>
        <d v="2024-05-04T00:00:00Z"/>
        <d v="2024-05-02T00:00:00Z"/>
        <d v="2024-04-30T00:00:00Z"/>
        <d v="2024-04-27T00:00:00Z"/>
        <d v="2024-04-25T00:00:00Z"/>
        <d v="2024-04-23T00:00:00Z"/>
        <d v="2024-04-20T00:00:00Z"/>
        <d v="2024-04-18T00:00:00Z"/>
        <d v="2024-04-16T00:00:00Z"/>
        <d v="2024-04-13T00:00:00Z"/>
        <d v="2024-04-11T00:00:00Z"/>
        <d v="2024-04-09T00:00:00Z"/>
        <d v="2024-04-06T00:00:00Z"/>
        <d v="2024-04-04T00:00:00Z"/>
        <d v="2024-04-02T00:00:00Z"/>
        <d v="2024-03-30T00:00:00Z"/>
        <d v="2024-03-28T00:00:00Z"/>
        <d v="2024-03-26T00:00:00Z"/>
        <d v="2024-03-23T00:00:00Z"/>
        <d v="2024-03-21T00:00:00Z"/>
        <d v="2024-03-19T00:00:00Z"/>
        <d v="2024-03-16T00:00:00Z"/>
        <d v="2024-03-14T00:00:00Z"/>
        <d v="2024-03-12T00:00:00Z"/>
        <d v="2024-03-09T00:00:00Z"/>
        <d v="2024-03-07T00:00:00Z"/>
        <d v="2024-03-05T00:00:00Z"/>
        <d v="2024-03-04T00:00:00Z"/>
        <d v="2024-03-02T00:00:00Z"/>
        <d v="2024-02-29T00:00:00Z"/>
        <d v="2024-02-27T00:00:00Z"/>
        <d v="2024-02-24T00:00:00Z"/>
        <d v="2024-02-22T00:00:00Z"/>
        <d v="2024-02-20T00:00:00Z"/>
        <d v="2024-01-31T00:00:00Z"/>
        <d v="2024-01-18T00:00:00Z"/>
        <d v="2024-01-16T00:00:00Z"/>
        <d v="2024-01-14T00:00:00Z"/>
        <d v="2024-01-11T00:00:00Z"/>
        <d v="2024-01-09T00:00:00Z"/>
        <d v="2024-01-07T00:00:00Z"/>
        <d v="2024-01-04T00:00:00Z"/>
        <d v="2024-01-02T00:00:00Z"/>
        <d v="2023-12-31T00:00:00Z"/>
        <d v="2023-12-28T00:00:00Z"/>
        <d v="2023-12-26T00:00:00Z"/>
        <d v="2023-12-24T00:00:00Z"/>
        <d v="2023-12-23T00:00:00Z"/>
        <d v="2023-12-21T00:00:00Z"/>
        <d v="2023-12-19T00:00:00Z"/>
        <d v="2023-12-17T00:00:00Z"/>
        <d v="2023-12-16T00:00:00Z"/>
        <d v="2023-12-14T00:00:00Z"/>
        <d v="2023-12-12T00:00:00Z"/>
        <d v="2023-12-10T00:00:00Z"/>
        <d v="2023-12-09T00:00:00Z"/>
        <d v="2023-12-07T00:00:00Z"/>
        <d v="2023-12-05T00:00:00Z"/>
        <d v="2023-12-03T00:00:00Z"/>
        <d v="2023-12-02T00:00:00Z"/>
        <d v="2023-11-30T00:00:00Z"/>
        <d v="2023-11-28T00:00:00Z"/>
        <d v="2023-11-26T00:00:00Z"/>
        <d v="2023-11-25T00:00:00Z"/>
        <d v="2023-11-23T00:00:00Z"/>
        <d v="2023-11-21T00:00:00Z"/>
        <d v="2023-11-19T00:00:00Z"/>
        <d v="2023-11-18T00:00:00Z"/>
        <d v="2023-11-16T00:00:00Z"/>
        <d v="2023-11-14T00:00:00Z"/>
        <d v="2023-11-12T00:00:00Z"/>
        <d v="2023-11-11T00:00:00Z"/>
        <d v="2023-11-09T00:00:00Z"/>
        <d v="2023-11-07T00:00:00Z"/>
        <d v="2023-11-05T00:00:00Z"/>
        <d v="2023-11-04T00:00:00Z"/>
        <d v="2023-11-02T00:00:00Z"/>
        <d v="2023-10-31T00:00:00Z"/>
        <d v="2023-10-29T00:00:00Z"/>
        <d v="2023-10-28T00:00:00Z"/>
        <d v="2023-10-24T00:00:00Z"/>
        <d v="2023-10-22T00:00:00Z"/>
        <d v="2023-10-21T00:00:00Z"/>
        <d v="2023-10-19T00:00:00Z"/>
        <d v="2023-10-17T00:00:00Z"/>
        <d v="2023-10-15T00:00:00Z"/>
        <d v="2023-10-14T00:00:00Z"/>
        <d v="2023-10-12T00:00:00Z"/>
        <d v="2023-10-10T00:00:00Z"/>
        <d v="2023-10-08T00:00:00Z"/>
        <d v="2023-10-07T00:00:00Z"/>
        <d v="2023-10-05T00:00:00Z"/>
        <d v="2023-10-03T00:00:00Z"/>
        <d v="2023-10-01T00:00:00Z"/>
        <d v="2023-09-30T00:00:00Z"/>
        <d v="2023-09-28T00:00:00Z"/>
        <d v="2023-09-26T00:00:00Z"/>
        <d v="2023-09-24T00:00:00Z"/>
        <d v="2023-09-23T00:00:00Z"/>
        <d v="2023-09-21T00:00:00Z"/>
        <d v="2023-09-19T00:00:00Z"/>
        <d v="2023-09-17T00:00:00Z"/>
        <d v="2023-09-14T00:00:00Z"/>
        <d v="2023-09-12T00:00:00Z"/>
        <d v="2023-09-10T00:00:00Z"/>
        <d v="2023-09-07T00:00:00Z"/>
        <d v="2023-09-05T00:00:00Z"/>
        <d v="2023-08-31T00:00:00Z"/>
        <d v="2023-08-29T00:00:00Z"/>
        <d v="2023-08-27T00:00:00Z"/>
        <d v="2023-08-24T00:00:00Z"/>
        <d v="2023-08-22T00:00:00Z"/>
        <d v="2023-08-20T00:00:00Z"/>
        <d v="2023-08-17T00:00:00Z"/>
        <d v="2023-08-15T00:00:00Z"/>
        <d v="2023-08-13T00:00:00Z"/>
        <d v="2023-08-10T00:00:00Z"/>
        <d v="2023-08-08T00:00:00Z"/>
        <d v="2023-08-06T00:00:00Z"/>
        <d v="2023-08-03T00:00:00Z"/>
        <d v="2023-08-01T00:00:00Z"/>
        <d v="2023-07-30T00:00:00Z"/>
        <d v="2023-07-27T00:00:00Z"/>
        <d v="2023-07-25T00:00:00Z"/>
        <d v="2023-07-23T00:00:00Z"/>
        <d v="2023-07-20T00:00:00Z"/>
        <d v="2023-07-18T00:00:00Z"/>
        <d v="2023-07-16T00:00:00Z"/>
        <d v="2023-07-13T00:00:00Z"/>
        <d v="2023-07-11T00:00:00Z"/>
        <d v="2023-07-09T00:00:00Z"/>
        <d v="2023-07-06T00:00:00Z"/>
        <d v="2023-07-04T00:00:00Z"/>
        <d v="2023-07-02T00:00:00Z"/>
        <d v="2023-06-29T00:00:00Z"/>
        <d v="2023-06-27T00:00:00Z"/>
        <d v="2023-06-25T00:00:00Z"/>
        <d v="2023-06-22T00:00:00Z"/>
        <d v="2023-06-20T00:00:00Z"/>
        <d v="2023-06-18T00:00:00Z"/>
        <d v="2023-06-15T00:00:00Z"/>
        <d v="2023-06-13T00:00:00Z"/>
        <d v="2023-06-08T00:00:00Z"/>
        <d v="2023-06-06T00:00:00Z"/>
        <d v="2023-06-04T00:00:00Z"/>
        <d v="2023-06-03T00:00:00Z"/>
        <d v="2023-06-01T00:00:00Z"/>
        <d v="2023-05-30T00:00:00Z"/>
        <d v="2023-05-28T00:00:00Z"/>
        <d v="2023-05-25T00:00:00Z"/>
        <d v="2023-05-23T00:00:00Z"/>
        <d v="2023-05-21T00:00:00Z"/>
        <d v="2023-05-18T00:00:00Z"/>
        <d v="2023-05-16T00:00:00Z"/>
        <d v="2023-05-14T00:00:00Z"/>
        <d v="2023-05-11T00:00:00Z"/>
        <d v="2023-05-09T00:00:00Z"/>
        <d v="2023-05-07T00:00:00Z"/>
        <d v="2023-05-04T00:00:00Z"/>
        <d v="2023-05-03T00:00:00Z"/>
        <d v="2023-04-28T00:00:00Z"/>
        <d v="2023-04-27T00:00:00Z"/>
        <d v="2023-04-25T00:00:00Z"/>
        <d v="2023-04-23T00:00:00Z"/>
        <d v="2023-04-20T00:00:00Z"/>
        <d v="2023-04-18T00:00:00Z"/>
        <d v="2023-04-16T00:00:00Z"/>
        <d v="2023-04-13T00:00:00Z"/>
        <d v="2023-04-11T00:00:00Z"/>
        <d v="2023-04-09T00:00:00Z"/>
        <d v="2023-04-06T00:00:00Z"/>
        <d v="2023-04-04T00:00:00Z"/>
        <d v="2023-04-01T00:00:00Z"/>
        <d v="2023-03-30T00:00:00Z"/>
        <d v="2023-03-27T00:00:00Z"/>
        <d v="2023-03-23T00:00:00Z"/>
        <d v="2023-03-21T00:00:00Z"/>
        <d v="2023-03-18T00:00:00Z"/>
        <d v="2023-03-16T00:00:00Z"/>
        <d v="2023-03-14T00:00:00Z"/>
        <d v="2023-03-09T00:00:00Z"/>
        <d v="2023-03-07T00:00:00Z"/>
        <d v="2023-03-04T00:00:00Z"/>
        <d v="2023-03-02T00:00:00Z"/>
        <d v="2023-02-28T00:00:00Z"/>
        <d v="2023-02-25T00:00:00Z"/>
        <d v="2023-02-23T00:00:00Z"/>
        <d v="2023-02-21T00:00:00Z"/>
        <d v="2023-02-16T00:00:00Z"/>
        <d v="2023-02-14T00:00:00Z"/>
        <d v="2023-02-11T00:00:00Z"/>
        <d v="2023-02-09T00:00:00Z"/>
        <d v="2023-02-07T00:00:00Z"/>
        <d v="2023-02-04T00:00:00Z"/>
        <d v="2023-02-01T00:00:00Z"/>
        <d v="2023-01-30T00:00:00Z"/>
        <d v="2023-01-26T00:00:00Z"/>
        <d v="2023-01-24T00:00:00Z"/>
        <d v="2023-01-22T00:00:00Z"/>
        <d v="2023-01-19T00:00:00Z"/>
        <d v="2023-01-17T00:00:00Z"/>
        <d v="2023-01-15T00:00:00Z"/>
        <d v="2023-01-13T00:00:00Z"/>
        <d v="2023-01-11T00:00:00Z"/>
        <d v="2023-01-09T00:00:00Z"/>
        <d v="2023-01-06T00:00:00Z"/>
        <d v="2023-01-04T00:00:00Z"/>
        <d v="2023-01-03T00:00:00Z"/>
        <d v="2023-01-02T00:00:00Z"/>
        <d v="2022-12-29T00:00:00Z"/>
        <d v="2022-12-28T00:00:00Z"/>
        <d v="2022-12-27T00:00:00Z"/>
        <d v="2022-12-26T00:00:00Z"/>
        <d v="2022-12-24T00:00:00Z"/>
        <d v="2022-12-23T00:00:00Z"/>
        <d v="2022-12-22T00:00:00Z"/>
        <d v="2022-12-20T00:00:00Z"/>
        <d v="2022-12-19T00:00:00Z"/>
        <d v="2022-12-17T00:00:00Z"/>
        <d v="2022-12-16T00:00:00Z"/>
        <d v="2022-12-14T00:00:00Z"/>
        <d v="2022-12-13T00:00:00Z"/>
        <d v="2022-12-12T00:00:00Z"/>
        <d v="2022-12-09T00:00:00Z"/>
        <d v="2022-12-07T00:00:00Z"/>
        <d v="2022-12-06T00:00:00Z"/>
        <d v="2022-12-05T00:00:00Z"/>
        <d v="2022-12-03T00:00:00Z"/>
        <d v="2022-12-02T00:00:00Z"/>
        <d v="2022-11-30T00:00:00Z"/>
        <d v="2022-11-29T00:00:00Z"/>
        <d v="2022-11-28T00:00:00Z"/>
        <d v="2022-11-26T00:00:00Z"/>
        <d v="2022-11-25T00:00:00Z"/>
        <d v="2022-11-24T00:00:00Z"/>
        <d v="2022-11-23T00:00:00Z"/>
        <d v="2022-11-21T00:00:00Z"/>
        <d v="2022-11-18T00:00:00Z"/>
        <d v="2022-11-17T00:00:00Z"/>
        <d v="2022-11-15T00:00:00Z"/>
        <d v="2022-11-14T00:00:00Z"/>
        <d v="2022-11-12T00:00:00Z"/>
        <d v="2022-11-11T00:00:00Z"/>
        <d v="2022-11-09T00:00:00Z"/>
        <d v="2022-11-08T00:00:00Z"/>
        <d v="2022-11-07T00:00:00Z"/>
        <d v="2022-11-05T00:00:00Z"/>
        <d v="2022-11-04T00:00:00Z"/>
        <d v="2022-11-03T00:00:00Z"/>
        <d v="2022-11-02T00:00:00Z"/>
        <d v="2022-11-01T00:00:00Z"/>
        <d v="2022-10-31T00:00:00Z"/>
        <d v="2022-10-28T00:00:00Z"/>
        <d v="2022-10-27T00:00:00Z"/>
        <d v="2022-10-25T00:00:00Z"/>
        <d v="2022-10-24T00:00:00Z"/>
        <d v="2022-10-22T00:00:00Z"/>
        <d v="2022-10-21T00:00:00Z"/>
        <d v="2022-10-19T00:00:00Z"/>
        <d v="2022-10-18T00:00:00Z"/>
        <d v="2022-10-17T00:00:00Z"/>
        <d v="2022-10-15T00:00:00Z"/>
        <d v="2022-10-14T00:00:00Z"/>
        <d v="2022-10-13T00:00:00Z"/>
        <d v="2022-10-12T00:00:00Z"/>
        <d v="2022-10-11T00:00:00Z"/>
        <d v="2022-10-08T00:00:00Z"/>
        <d v="2022-10-07T00:00:00Z"/>
        <d v="2022-10-06T00:00:00Z"/>
        <d v="2022-10-04T00:00:00Z"/>
        <d v="2022-10-03T00:00:00Z"/>
        <d v="2022-10-01T00:00:00Z"/>
        <d v="2022-09-30T00:00:00Z"/>
        <d v="2022-09-29T00:00:00Z"/>
        <d v="2022-09-28T00:00:00Z"/>
        <d v="2022-09-27T00:00:00Z"/>
        <d v="2022-09-25T00:00:00Z"/>
        <d v="2022-09-22T00:00:00Z"/>
        <d v="2022-09-21T00:00:00Z"/>
        <d v="2022-09-20T00:00:00Z"/>
        <d v="2022-09-19T00:00:00Z"/>
        <d v="2022-09-15T00:00:00Z"/>
        <d v="2022-09-14T00:00:00Z"/>
        <d v="2022-09-13T00:00:00Z"/>
        <d v="2022-09-12T00:00:00Z"/>
        <d v="2022-09-08T00:00:00Z"/>
        <d v="2022-09-07T00:00:00Z"/>
        <d v="2022-09-06T00:00:00Z"/>
        <d v="2022-09-05T00:00:00Z"/>
        <d v="2022-09-02T00:00:00Z"/>
        <d v="2022-09-01T00:00:00Z"/>
        <d v="2022-08-31T00:00:00Z"/>
        <d v="2022-08-30T00:00:00Z"/>
        <d v="2022-08-29T00:00:00Z"/>
        <d v="2022-08-28T00:00:00Z"/>
        <d v="2022-08-26T00:00:00Z"/>
        <d v="2022-08-25T00:00:00Z"/>
        <d v="2022-08-24T00:00:00Z"/>
        <d v="2022-08-23T00:00:00Z"/>
        <d v="2022-08-19T00:00:00Z"/>
        <d v="2022-08-18T00:00:00Z"/>
        <d v="2022-08-17T00:00:00Z"/>
        <d v="2022-08-16T00:00:00Z"/>
        <d v="2022-08-12T00:00:00Z"/>
        <d v="2022-08-11T00:00:00Z"/>
        <d v="2022-08-10T00:00:00Z"/>
        <d v="2022-08-08T00:00:00Z"/>
        <d v="2022-08-05T00:00:00Z"/>
        <d v="2022-08-04T00:00:00Z"/>
        <d v="2022-08-03T00:00:00Z"/>
        <d v="2022-08-01T00:00:00Z"/>
        <d v="2022-07-28T00:00:00Z"/>
        <d v="2022-07-27T00:00:00Z"/>
        <d v="2022-07-26T00:00:00Z"/>
        <d v="2022-07-25T00:00:00Z"/>
        <d v="2022-07-22T00:00:00Z"/>
        <d v="2022-07-20T00:00:00Z"/>
        <d v="2022-07-19T00:00:00Z"/>
        <d v="2022-07-18T00:00:00Z"/>
        <d v="2022-07-14T00:00:00Z"/>
        <d v="2022-07-13T00:00:00Z"/>
        <d v="2022-07-12T00:00:00Z"/>
        <d v="2022-07-11T00:00:00Z"/>
        <d v="2022-07-10T00:00:00Z"/>
        <d v="2022-07-07T00:00:00Z"/>
        <d v="2022-07-05T00:00:00Z"/>
        <d v="2022-07-04T00:00:00Z"/>
        <d v="2022-07-02T00:00:00Z"/>
        <d v="2022-06-30T00:00:00Z"/>
        <d v="2022-06-29T00:00:00Z"/>
        <d v="2022-06-28T00:00:00Z"/>
        <d v="2022-06-27T00:00:00Z"/>
        <d v="2022-06-26T00:00:00Z"/>
        <d v="2022-06-24T00:00:00Z"/>
        <d v="2022-06-23T00:00:00Z"/>
        <d v="2022-06-22T00:00:00Z"/>
        <d v="2022-06-21T00:00:00Z"/>
        <d v="2022-06-19T00:00:00Z"/>
        <d v="2022-06-17T00:00:00Z"/>
        <d v="2022-06-15T00:00:00Z"/>
        <d v="2022-06-13T00:00:00Z"/>
        <d v="2022-06-12T00:00:00Z"/>
        <d v="2022-06-09T00:00:00Z"/>
        <d v="2022-06-07T00:00:00Z"/>
        <d v="2022-06-03T00:00:00Z"/>
        <d v="2022-06-01T00:00:00Z"/>
        <d v="2022-05-31T00:00:00Z"/>
        <d v="2022-05-30T00:00:00Z"/>
        <d v="2022-05-29T00:00:00Z"/>
        <d v="2022-05-25T00:00:00Z"/>
        <d v="2022-05-24T00:00:00Z"/>
        <d v="2022-05-20T00:00:00Z"/>
        <d v="2022-05-19T00:00:00Z"/>
        <d v="2022-05-18T00:00:00Z"/>
        <d v="2022-05-16T00:00:00Z"/>
        <d v="2022-05-14T00:00:00Z"/>
        <d v="2022-05-12T00:00:00Z"/>
        <d v="2022-05-09T00:00:00Z"/>
        <d v="2022-05-06T00:00:00Z"/>
        <d v="2022-05-05T00:00:00Z"/>
        <d v="2022-05-02T00:00:00Z"/>
        <d v="2022-05-01T00:00:00Z"/>
        <d v="2022-04-28T00:00:00Z"/>
        <d v="2022-04-27T00:00:00Z"/>
        <d v="2022-04-26T00:00:00Z"/>
        <d v="2022-04-25T00:00:00Z"/>
        <d v="2022-04-23T00:00:00Z"/>
        <d v="2022-04-22T00:00:00Z"/>
        <d v="2022-04-21T00:00:00Z"/>
        <d v="2022-04-19T00:00:00Z"/>
        <d v="2022-04-18T00:00:00Z"/>
        <d v="2022-04-17T00:00:00Z"/>
        <d v="2022-04-13T00:00:00Z"/>
        <d v="2022-04-12T00:00:00Z"/>
        <d v="2022-04-11T00:00:00Z"/>
        <d v="2022-04-08T00:00:00Z"/>
        <d v="2022-04-07T00:00:00Z"/>
        <d v="2022-04-04T00:00:00Z"/>
        <d v="2022-04-01T00:00:00Z"/>
        <d v="2022-03-28T00:00:00Z"/>
        <d v="2022-03-26T00:00:00Z"/>
        <d v="2022-03-24T00:00:00Z"/>
        <d v="2022-03-20T00:00:00Z"/>
        <d v="2022-03-13T00:00:00Z"/>
        <d v="2022-03-03T00:00:00Z"/>
        <d v="2022-02-20T00:00:00Z"/>
        <d v="2022-02-13T00:00:00Z"/>
        <d v="2022-02-07T00:00:00Z"/>
        <d v="2022-01-31T00:00:00Z"/>
        <d v="2022-01-29T00:00:00Z"/>
        <d v="2022-01-17T00:00:00Z"/>
        <d v="2022-01-14T00:00:00Z"/>
        <d v="2022-01-09T00:00:00Z"/>
        <d v="2022-01-06T00:00:00Z"/>
        <d v="2022-01-03T00:00:00Z"/>
        <d v="2021-12-28T00:00:00Z"/>
        <d v="2021-12-23T00:00:00Z"/>
        <d v="2021-12-21T00:00:00Z"/>
        <d v="2021-12-19T00:00:00Z"/>
        <d v="2021-12-16T00:00:00Z"/>
        <d v="2021-12-10T00:00:00Z"/>
        <d v="2021-12-03T00:00:00Z"/>
        <d v="2021-12-01T00:00:00Z"/>
        <d v="2021-11-21T00:00:00Z"/>
        <d v="2021-11-20T00:00:00Z"/>
        <d v="2021-11-11T00:00:00Z"/>
        <d v="2021-11-08T00:00:00Z"/>
        <d v="2021-10-31T00:00:00Z"/>
        <d v="2021-10-24T00:00:00Z"/>
        <d v="2021-10-22T00:00:00Z"/>
        <d v="2021-10-17T00:00:00Z"/>
        <d v="2021-10-15T00:00:00Z"/>
        <d v="2021-10-10T00:00:00Z"/>
        <d v="2021-10-07T00:00:00Z"/>
      </sharedItems>
    </cacheField>
    <cacheField name="Duration" numFmtId="20">
      <sharedItems containsSemiMixedTypes="0" containsDate="1" containsString="0">
        <d v="1899-12-30T10:54:00Z"/>
        <d v="1899-12-30T02:24:00Z"/>
        <d v="1899-12-30T08:30:00Z"/>
        <d v="1900-01-01T02:16:00Z"/>
        <d v="1899-12-31T17:18:00Z"/>
        <d v="1899-12-31T03:02:00Z"/>
        <d v="1899-12-30T08:52:00Z"/>
        <d v="1900-01-01T08:15:00Z"/>
        <d v="1899-12-30T13:12:00Z"/>
        <d v="1899-12-30T06:53:00Z"/>
        <d v="1899-12-30T07:50:00Z"/>
        <d v="1899-12-30T18:54:00Z"/>
        <d v="1899-12-31T19:04:00Z"/>
        <d v="1899-12-30T03:54:00Z"/>
        <d v="1899-12-31T04:27:00Z"/>
        <d v="1899-12-31T14:53:00Z"/>
        <d v="1899-12-31T20:10:00Z"/>
        <d v="1899-12-30T10:14:00Z"/>
        <d v="1899-12-31T23:07:00Z"/>
        <d v="1899-12-30T01:38:00Z"/>
        <d v="1899-12-30T07:20:00Z"/>
        <d v="1899-12-30T14:20:00Z"/>
        <d v="1899-12-31T12:19:00Z"/>
        <d v="1899-12-30T05:48:00Z"/>
        <d v="1899-12-30T09:25:00Z"/>
        <d v="1899-12-30T08:05:00Z"/>
        <d v="1899-12-31T23:53:00Z"/>
        <d v="1899-12-30T01:17:02Z"/>
        <d v="1899-12-31T09:34:00Z"/>
        <d v="1899-12-30T06:45:00Z"/>
        <d v="1899-12-31T05:45:00Z"/>
        <d v="1899-12-31T12:05:00Z"/>
        <d v="1899-12-31T23:30:00Z"/>
        <d v="1899-12-30T09:46:00Z"/>
        <d v="1899-12-30T10:18:00Z"/>
        <d v="1900-01-01T10:24:00Z"/>
        <d v="1899-12-31T05:01:00Z"/>
        <d v="1899-12-31T02:08:00Z"/>
        <d v="1899-12-31T03:26:00Z"/>
        <d v="1899-12-30T04:56:00Z"/>
        <d v="1899-12-31T12:17:00Z"/>
        <d v="1899-12-31T10:04:00Z"/>
        <d v="1900-01-01T01:28:00Z"/>
        <d v="1899-12-30T18:06:00Z"/>
        <d v="1899-12-30T13:14:00Z"/>
        <d v="1899-12-30T01:00:24Z"/>
        <d v="1899-12-31T22:45:00Z"/>
        <d v="1899-12-31T08:44:00Z"/>
        <d v="1899-12-30T01:10:16Z"/>
        <d v="1899-12-30T19:56:00Z"/>
        <d v="1899-12-30T21:31:00Z"/>
        <d v="1899-12-30T06:09:00Z"/>
        <d v="1899-12-30T10:38:00Z"/>
        <d v="1899-12-30T12:59:00Z"/>
        <d v="1899-12-30T07:46:00Z"/>
        <d v="1899-12-30T05:56:00Z"/>
        <d v="1899-12-30T05:49:00Z"/>
        <d v="1899-12-30T05:10:00Z"/>
        <d v="1899-12-30T19:47:00Z"/>
        <d v="1899-12-30T09:44:00Z"/>
        <d v="1899-12-30T12:26:00Z"/>
        <d v="1899-12-31T10:06:00Z"/>
        <d v="1900-01-01T00:39:00Z"/>
        <d v="1899-12-30T23:36:00Z"/>
        <d v="1899-12-30T11:19:00Z"/>
        <d v="1899-12-31T16:11:00Z"/>
        <d v="1899-12-30T23:18:00Z"/>
        <d v="1899-12-30T12:36:00Z"/>
        <d v="1899-12-30T12:42:00Z"/>
        <d v="1899-12-30T11:05:00Z"/>
        <d v="1899-12-31T03:31:00Z"/>
        <d v="1899-12-31T14:31:00Z"/>
        <d v="1899-12-30T10:30:00Z"/>
        <d v="1899-12-30T06:41:00Z"/>
        <d v="1899-12-30T10:42:00Z"/>
        <d v="1899-12-30T13:29:00Z"/>
        <d v="1899-12-30T11:06:00Z"/>
        <d v="1899-12-31T22:02:00Z"/>
        <d v="1899-12-30T10:34:00Z"/>
        <d v="1899-12-31T16:16:00Z"/>
        <d v="1899-12-30T15:43:00Z"/>
        <d v="1899-12-30T06:20:00Z"/>
        <d v="1899-12-30T01:03:56Z"/>
        <d v="1899-12-30T06:16:00Z"/>
        <d v="1899-12-31T19:26:00Z"/>
        <d v="1899-12-30T12:48:00Z"/>
        <d v="1899-12-31T16:53:00Z"/>
        <d v="1899-12-30T13:23:00Z"/>
        <d v="1899-12-30T09:57:00Z"/>
        <d v="1899-12-30T01:20:08Z"/>
        <d v="1899-12-30T11:38:00Z"/>
        <d v="1899-12-30T09:54:00Z"/>
        <d v="1899-12-30T13:52:00Z"/>
        <d v="1899-12-30T18:30:00Z"/>
        <d v="1899-12-30T11:28:00Z"/>
        <d v="1899-12-30T16:04:00Z"/>
        <d v="1899-12-30T12:21:00Z"/>
        <d v="1899-12-30T06:26:00Z"/>
        <d v="1899-12-30T01:20:54Z"/>
        <d v="1899-12-30T07:39:00Z"/>
        <d v="1899-12-30T10:45:00Z"/>
        <d v="1899-12-30T10:39:00Z"/>
        <d v="1899-12-30T10:09:00Z"/>
        <d v="1900-01-01T03:46:00Z"/>
        <d v="1899-12-30T10:40:00Z"/>
        <d v="1899-12-30T15:30:00Z"/>
        <d v="1899-12-30T18:24:00Z"/>
        <d v="1899-12-30T11:09:00Z"/>
        <d v="1899-12-30T13:57:00Z"/>
        <d v="1899-12-31T12:04:00Z"/>
        <d v="1899-12-30T12:14:00Z"/>
        <d v="1899-12-30T16:51:00Z"/>
        <d v="1899-12-30T08:19:00Z"/>
        <d v="1899-12-30T13:27:00Z"/>
        <d v="1899-12-31T20:55:00Z"/>
        <d v="1899-12-30T18:43:00Z"/>
        <d v="1899-12-30T01:05:09Z"/>
        <d v="1899-12-30T16:34:00Z"/>
        <d v="1899-12-30T13:33:00Z"/>
        <d v="1899-12-30T11:29:00Z"/>
        <d v="1899-12-30T15:00:00Z"/>
        <d v="1899-12-30T12:29:00Z"/>
        <d v="1900-01-01T05:45:00Z"/>
        <d v="1900-01-01T02:45:00Z"/>
        <d v="1899-12-30T11:34:00Z"/>
        <d v="1899-12-30T01:04:02Z"/>
        <d v="1899-12-30T01:10:56Z"/>
        <d v="1899-12-31T14:50:00Z"/>
        <d v="1899-12-31T23:12:00Z"/>
        <d v="1899-12-30T15:36:00Z"/>
        <d v="1899-12-31T15:30:00Z"/>
        <d v="1899-12-30T14:47:00Z"/>
        <d v="1899-12-30T01:09:52Z"/>
        <d v="1899-12-30T14:34:00Z"/>
        <d v="1899-12-30T01:12:00Z"/>
        <d v="1899-12-30T12:18:00Z"/>
        <d v="1899-12-31T21:11:00Z"/>
        <d v="1899-12-30T01:02:31Z"/>
        <d v="1899-12-31T04:09:00Z"/>
        <d v="1899-12-30T01:12:17Z"/>
        <d v="1900-01-01T04:16:00Z"/>
        <d v="1899-12-30T13:36:00Z"/>
        <d v="1899-12-30T12:34:00Z"/>
        <d v="1899-12-30T17:59:00Z"/>
        <d v="1899-12-31T09:09:00Z"/>
        <d v="1899-12-30T06:49:00Z"/>
        <d v="1899-12-30T19:50:00Z"/>
        <d v="1899-12-30T10:16:00Z"/>
        <d v="1899-12-30T11:55:00Z"/>
        <d v="1899-12-30T14:21:00Z"/>
        <d v="1899-12-30T21:58:00Z"/>
        <d v="1899-12-30T14:39:00Z"/>
        <d v="1899-12-30T14:11:00Z"/>
        <d v="1899-12-31T12:36:00Z"/>
        <d v="1899-12-30T13:16:00Z"/>
        <d v="1899-12-30T19:26:00Z"/>
        <d v="1899-12-30T19:39:00Z"/>
        <d v="1899-12-30T14:00:00Z"/>
        <d v="1899-12-30T18:33:00Z"/>
        <d v="1899-12-30T17:48:00Z"/>
        <d v="1899-12-30T17:08:00Z"/>
        <d v="1899-12-30T14:16:00Z"/>
        <d v="1899-12-30T18:19:00Z"/>
        <d v="1899-12-30T18:47:00Z"/>
        <d v="1899-12-31T02:05:00Z"/>
        <d v="1899-12-30T11:03:00Z"/>
        <d v="1899-12-30T18:02:00Z"/>
        <d v="1899-12-31T12:21:00Z"/>
        <d v="1899-12-30T16:23:00Z"/>
        <d v="1899-12-30T10:28:00Z"/>
        <d v="1899-12-31T04:31:00Z"/>
        <d v="1899-12-30T13:06:00Z"/>
        <d v="1899-12-30T19:10:00Z"/>
        <d v="1899-12-31T08:49:00Z"/>
        <d v="1899-12-30T12:01:00Z"/>
        <d v="1899-12-30T13:01:00Z"/>
        <d v="1899-12-31T10:33:00Z"/>
        <d v="1899-12-30T15:22:00Z"/>
        <d v="1899-12-30T17:09:00Z"/>
        <d v="1899-12-30T14:09:00Z"/>
        <d v="1899-12-30T01:09:00Z"/>
        <d v="1899-12-30T08:21:00Z"/>
        <d v="1899-12-30T10:10:00Z"/>
        <d v="1899-12-30T16:10:00Z"/>
        <d v="1899-12-30T10:46:00Z"/>
        <d v="1899-12-30T09:01:00Z"/>
        <d v="1899-12-30T12:35:00Z"/>
        <d v="1899-12-30T11:33:00Z"/>
        <d v="1899-12-30T10:08:00Z"/>
        <d v="1899-12-31T17:19:00Z"/>
        <d v="1899-12-30T12:19:00Z"/>
        <d v="1899-12-30T13:53:00Z"/>
        <d v="1899-12-30T10:49:00Z"/>
        <d v="1899-12-30T17:30:00Z"/>
        <d v="1899-12-30T15:05:00Z"/>
        <d v="1899-12-30T08:24:00Z"/>
        <d v="1899-12-30T10:57:00Z"/>
        <d v="1899-12-30T16:01:00Z"/>
        <d v="1899-12-30T12:50:00Z"/>
        <d v="1899-12-30T08:10:00Z"/>
        <d v="1899-12-31T02:46:00Z"/>
        <d v="1899-12-30T11:57:00Z"/>
        <d v="1899-12-30T11:04:00Z"/>
        <d v="1899-12-31T18:55:00Z"/>
        <d v="1899-12-30T20:54:00Z"/>
        <d v="1899-12-30T12:11:00Z"/>
        <d v="1899-12-30T09:42:00Z"/>
        <d v="1899-12-30T19:35:00Z"/>
        <d v="1899-12-30T12:47:00Z"/>
        <d v="1899-12-30T12:31:00Z"/>
        <d v="1900-01-01T06:42:00Z"/>
        <d v="1899-12-30T17:44:00Z"/>
        <d v="1899-12-30T17:54:00Z"/>
        <d v="1899-12-30T14:03:00Z"/>
        <d v="1900-01-01T01:14:00Z"/>
        <d v="1899-12-30T12:56:00Z"/>
        <d v="1899-12-30T11:48:00Z"/>
        <d v="1900-01-01T01:05:00Z"/>
        <d v="1899-12-30T16:27:00Z"/>
        <d v="1899-12-30T19:01:00Z"/>
        <d v="1899-12-30T10:47:00Z"/>
        <d v="1899-12-30T10:43:00Z"/>
        <d v="1899-12-30T11:58:00Z"/>
        <d v="1899-12-30T13:38:00Z"/>
        <d v="1899-12-30T13:54:00Z"/>
        <d v="1899-12-30T12:24:00Z"/>
        <d v="1899-12-30T16:55:00Z"/>
        <d v="1899-12-30T14:52:00Z"/>
        <d v="1899-12-30T13:17:00Z"/>
        <d v="1899-12-30T13:32:00Z"/>
        <d v="1899-12-30T14:48:00Z"/>
        <d v="1899-12-30T13:46:00Z"/>
        <d v="1899-12-30T08:14:00Z"/>
        <d v="1899-12-30T17:29:00Z"/>
        <d v="1899-12-30T19:51:00Z"/>
        <d v="1899-12-30T15:11:00Z"/>
        <d v="1899-12-30T13:07:00Z"/>
        <d v="1899-12-30T11:08:00Z"/>
        <d v="1899-12-30T18:07:00Z"/>
        <d v="1899-12-30T17:43:00Z"/>
        <d v="1899-12-30T09:35:00Z"/>
        <d v="1899-12-30T11:13:00Z"/>
        <d v="1899-12-30T14:57:00Z"/>
        <d v="1899-12-30T14:18:00Z"/>
        <d v="1899-12-30T13:05:00Z"/>
        <d v="1899-12-30T16:13:00Z"/>
        <d v="1899-12-30T01:09:23Z"/>
        <d v="1899-12-30T21:29:00Z"/>
        <d v="1899-12-30T13:51:00Z"/>
        <d v="1899-12-31T01:32:00Z"/>
        <d v="1899-12-30T14:10:00Z"/>
        <d v="1899-12-30T12:12:00Z"/>
        <d v="1900-01-01T04:09:00Z"/>
        <d v="1899-12-30T10:27:00Z"/>
        <d v="1899-12-30T12:15:00Z"/>
        <d v="1899-12-30T14:01:00Z"/>
        <d v="1899-12-30T14:42:00Z"/>
        <d v="1899-12-30T17:20:00Z"/>
        <d v="1899-12-30T18:15:00Z"/>
        <d v="1899-12-30T08:36:00Z"/>
        <d v="1899-12-30T10:26:00Z"/>
        <d v="1899-12-30T18:31:00Z"/>
        <d v="1899-12-30T09:04:00Z"/>
        <d v="1899-12-30T16:06:00Z"/>
        <d v="1899-12-30T11:53:00Z"/>
        <d v="1899-12-30T12:52:00Z"/>
        <d v="1899-12-30T18:58:00Z"/>
        <d v="1899-12-30T09:39:00Z"/>
        <d v="1899-12-30T18:48:00Z"/>
        <d v="1899-12-30T12:53:00Z"/>
        <d v="1899-12-30T12:46:00Z"/>
        <d v="1899-12-30T12:28:00Z"/>
        <d v="1899-12-30T04:58:00Z"/>
        <d v="1899-12-30T11:42:00Z"/>
        <d v="1899-12-30T12:51:00Z"/>
        <d v="1899-12-30T13:58:00Z"/>
        <d v="1899-12-30T21:06:00Z"/>
        <d v="1899-12-30T20:14:00Z"/>
        <d v="1899-12-30T15:06:00Z"/>
        <d v="1899-12-30T14:06:00Z"/>
        <d v="1899-12-30T17:22:00Z"/>
        <d v="1899-12-30T11:47:00Z"/>
        <d v="1899-12-30T09:33:00Z"/>
        <d v="1899-12-30T11:20:00Z"/>
        <d v="1899-12-31T07:26:00Z"/>
        <d v="1899-12-30T14:31:00Z"/>
        <d v="1899-12-31T00:54:00Z"/>
        <d v="1899-12-30T04:55:00Z"/>
        <d v="1899-12-30T11:46:00Z"/>
        <d v="1899-12-30T09:48:00Z"/>
        <d v="1899-12-31T04:24:00Z"/>
        <d v="1899-12-30T12:04:00Z"/>
        <d v="1899-12-30T14:02:00Z"/>
        <d v="1900-01-01T05:40:00Z"/>
        <d v="1899-12-30T07:31:00Z"/>
        <d v="1899-12-30T17:58:00Z"/>
        <d v="1899-12-31T17:12:00Z"/>
        <d v="1899-12-30T10:59:00Z"/>
        <d v="1899-12-30T12:25:00Z"/>
        <d v="1899-12-31T12:57:00Z"/>
        <d v="1899-12-30T16:17:00Z"/>
        <d v="1899-12-30T08:35:00Z"/>
        <d v="1899-12-30T14:27:00Z"/>
        <d v="1899-12-31T10:48:00Z"/>
        <d v="1899-12-30T16:37:00Z"/>
        <d v="1899-12-30T14:08:00Z"/>
        <d v="1899-12-30T17:24:00Z"/>
        <d v="1900-01-01T07:10:00Z"/>
        <d v="1899-12-30T15:26:00Z"/>
        <d v="1899-12-30T17:42:00Z"/>
        <d v="1899-12-31T11:36:00Z"/>
        <d v="1899-12-30T01:02:06Z"/>
        <d v="1899-12-30T14:32:00Z"/>
        <d v="1900-01-01T05:15:00Z"/>
        <d v="1899-12-30T15:21:00Z"/>
        <d v="1899-12-31T14:28:00Z"/>
        <d v="1899-12-30T13:44:00Z"/>
        <d v="1899-12-30T10:56:00Z"/>
        <d v="1899-12-31T18:59:00Z"/>
        <d v="1899-12-30T13:41:00Z"/>
        <d v="1899-12-30T16:28:00Z"/>
        <d v="1899-12-30T11:21:00Z"/>
        <d v="1899-12-30T14:38:00Z"/>
        <d v="1899-12-30T17:52:00Z"/>
        <d v="1899-12-30T13:09:00Z"/>
        <d v="1899-12-30T14:25:00Z"/>
        <d v="1899-12-30T09:30:00Z"/>
        <d v="1899-12-30T11:36:00Z"/>
        <d v="1899-12-31T21:43:00Z"/>
        <d v="1899-12-30T07:59:00Z"/>
        <d v="1899-12-30T10:21:00Z"/>
        <d v="1899-12-30T21:49:00Z"/>
        <d v="1899-12-30T11:24:00Z"/>
        <d v="1900-01-01T04:47:00Z"/>
        <d v="1899-12-30T14:37:00Z"/>
        <d v="1899-12-30T12:40:00Z"/>
        <d v="1899-12-30T09:20:00Z"/>
        <d v="1899-12-30T19:33:00Z"/>
        <d v="1899-12-30T14:14:00Z"/>
        <d v="1899-12-31T20:19:00Z"/>
        <d v="1899-12-30T14:33:00Z"/>
        <d v="1899-12-31T23:39:00Z"/>
        <d v="1899-12-30T21:48:00Z"/>
        <d v="1899-12-30T14:43:00Z"/>
        <d v="1899-12-30T18:23:00Z"/>
        <d v="1899-12-30T11:51:00Z"/>
        <d v="1899-12-30T15:15:00Z"/>
        <d v="1899-12-30T01:04:19Z"/>
        <d v="1899-12-30T11:17:00Z"/>
        <d v="1899-12-30T20:19:00Z"/>
        <d v="1899-12-30T11:39:00Z"/>
        <d v="1899-12-31T13:44:00Z"/>
        <d v="1899-12-30T15:07:00Z"/>
        <d v="1899-12-30T09:07:00Z"/>
        <d v="1899-12-30T11:25:00Z"/>
        <d v="1899-12-30T21:18:00Z"/>
        <d v="1899-12-30T17:23:00Z"/>
        <d v="1899-12-30T15:39:00Z"/>
        <d v="1899-12-30T12:54:00Z"/>
        <d v="1899-12-30T21:24:00Z"/>
        <d v="1899-12-30T01:03:40Z"/>
        <d v="1899-12-30T17:19:00Z"/>
        <d v="1899-12-30T12:20:00Z"/>
        <d v="1899-12-30T15:10:00Z"/>
        <d v="1899-12-30T01:04:06Z"/>
        <d v="1899-12-30T21:30:00Z"/>
        <d v="1899-12-31T23:56:00Z"/>
        <d v="1899-12-30T12:23:00Z"/>
        <d v="1899-12-30T15:59:00Z"/>
        <d v="1899-12-30T11:27:00Z"/>
        <d v="1899-12-30T21:10:00Z"/>
        <d v="1899-12-30T12:02:00Z"/>
        <d v="1899-12-30T16:12:00Z"/>
        <d v="1899-12-30T13:20:00Z"/>
        <d v="1900-01-01T01:22:00Z"/>
        <d v="1899-12-30T13:21:00Z"/>
        <d v="1899-12-30T22:42:00Z"/>
        <d v="1899-12-30T15:49:00Z"/>
        <d v="1899-12-30T15:34:00Z"/>
        <d v="1899-12-31T00:39:00Z"/>
        <d v="1899-12-30T17:39:00Z"/>
        <d v="1899-12-31T00:53:00Z"/>
        <d v="1900-01-01T06:00:00Z"/>
        <d v="1899-12-30T23:37:00Z"/>
        <d v="1899-12-31T07:33:00Z"/>
        <d v="1900-01-01T08:38:00Z"/>
        <d v="1899-12-30T20:36:00Z"/>
        <d v="1899-12-30T18:20:00Z"/>
        <d v="1899-12-30T19:12:00Z"/>
        <d v="1899-12-30T23:34:00Z"/>
        <d v="1899-12-30T18:22:00Z"/>
        <d v="1899-12-31T00:23:00Z"/>
        <d v="1899-12-31T08:46:00Z"/>
        <d v="1899-12-30T15:54:00Z"/>
        <d v="1899-12-30T23:15:00Z"/>
        <d v="1899-12-30T09:02:00Z"/>
        <d v="1899-12-30T11:52:00Z"/>
        <d v="1899-12-31T01:42:00Z"/>
        <d v="1899-12-30T20:10:00Z"/>
        <d v="1899-12-31T00:15:00Z"/>
        <d v="1899-12-30T15:18:00Z"/>
        <d v="1899-12-30T21:41:00Z"/>
        <d v="1899-12-30T10:13:00Z"/>
        <d v="1899-12-30T22:34:00Z"/>
        <d v="1899-12-31T03:16:00Z"/>
        <d v="1899-12-30T08:51:00Z"/>
        <d v="1899-12-30T05:18:00Z"/>
        <d v="1899-12-30T15:48:00Z"/>
        <d v="1899-12-30T17:35:00Z"/>
        <d v="1899-12-30T08:34:00Z"/>
        <d v="1899-12-30T12:33:00Z"/>
        <d v="1899-12-30T18:27:00Z"/>
        <d v="1899-12-30T13:48:00Z"/>
        <d v="1899-12-30T17:41:00Z"/>
        <d v="1899-12-30T15:35:00Z"/>
        <d v="1899-12-30T11:15:00Z"/>
        <d v="1899-12-30T09:36:00Z"/>
        <d v="1900-01-01T03:12:00Z"/>
        <d v="1899-12-30T10:35:00Z"/>
        <d v="1899-12-30T08:29:00Z"/>
        <d v="1899-12-30T09:43:00Z"/>
        <d v="1899-12-30T11:41:00Z"/>
        <d v="1899-12-30T12:03:00Z"/>
        <d v="1899-12-30T09:05:00Z"/>
        <d v="1899-12-30T12:08:00Z"/>
        <d v="1899-12-30T13:42:00Z"/>
        <d v="1899-12-30T13:30:00Z"/>
        <d v="1899-12-30T12:06:00Z"/>
        <d v="1899-12-30T11:26:00Z"/>
        <d v="1899-12-30T17:11:00Z"/>
        <d v="1899-12-30T13:39:00Z"/>
        <d v="1899-12-30T13:00:00Z"/>
        <d v="1899-12-30T12:07:00Z"/>
        <d v="1899-12-30T21:20:00Z"/>
        <d v="1899-12-30T14:40:00Z"/>
        <d v="1899-12-30T13:13:00Z"/>
        <d v="1899-12-30T08:03:00Z"/>
        <d v="1899-12-30T09:00:00Z"/>
        <d v="1899-12-30T12:13:00Z"/>
        <d v="1899-12-30T05:57:00Z"/>
        <d v="1899-12-30T11:00:00Z"/>
        <d v="1899-12-30T05:58:00Z"/>
        <d v="1899-12-30T09:03:00Z"/>
        <d v="1899-12-30T10:01:00Z"/>
        <d v="1899-12-30T13:35:00Z"/>
        <d v="1899-12-30T12:39:00Z"/>
        <d v="1899-12-30T09:45:00Z"/>
        <d v="1899-12-30T14:55:00Z"/>
        <d v="1899-12-30T15:52:00Z"/>
        <d v="1899-12-30T09:29:00Z"/>
        <d v="1899-12-30T10:24:00Z"/>
        <d v="1899-12-30T14:44:00Z"/>
        <d v="1899-12-31T05:17:00Z"/>
        <d v="1899-12-30T15:32:00Z"/>
        <d v="1899-12-31T05:50:00Z"/>
        <d v="1899-12-30T11:31:00Z"/>
        <d v="1899-12-30T07:01:00Z"/>
        <d v="1899-12-30T05:51:00Z"/>
        <d v="1899-12-30T06:36:00Z"/>
        <d v="1899-12-30T06:44:00Z"/>
        <d v="1899-12-30T11:16:00Z"/>
        <d v="1899-12-30T08:09:00Z"/>
        <d v="1899-12-30T07:21:00Z"/>
        <d v="1899-12-30T09:51:00Z"/>
        <d v="1899-12-30T09:40:00Z"/>
        <d v="1899-12-30T11:14:00Z"/>
        <d v="1899-12-30T04:17:00Z"/>
        <d v="1899-12-30T09:55:00Z"/>
        <d v="1899-12-30T11:44:00Z"/>
        <d v="1899-12-30T07:37:00Z"/>
        <d v="1899-12-30T04:46:00Z"/>
      </sharedItems>
    </cacheField>
    <cacheField name="Views" numFmtId="0">
      <sharedItems containsSemiMixedTypes="0" containsString="0" containsNumber="1" containsInteger="1">
        <n v="2718.0"/>
        <n v="2408.0"/>
        <n v="2430.0"/>
        <n v="8684.0"/>
        <n v="3945.0"/>
        <n v="2955.0"/>
        <n v="5180.0"/>
        <n v="3582.0"/>
        <n v="3297.0"/>
        <n v="3048.0"/>
        <n v="6640.0"/>
        <n v="3707.0"/>
        <n v="19838.0"/>
        <n v="2477.0"/>
        <n v="5191.0"/>
        <n v="2991.0"/>
        <n v="5737.0"/>
        <n v="4180.0"/>
        <n v="28298.0"/>
        <n v="1684.0"/>
        <n v="15888.0"/>
        <n v="10919.0"/>
        <n v="4974.0"/>
        <n v="30187.0"/>
        <n v="3422.0"/>
        <n v="5597.0"/>
        <n v="7145.0"/>
        <n v="3901.0"/>
        <n v="5766.0"/>
        <n v="2159.0"/>
        <n v="3684.0"/>
        <n v="4022.0"/>
        <n v="8374.0"/>
        <n v="1478.0"/>
        <n v="8301.0"/>
        <n v="12643.0"/>
        <n v="2878.0"/>
        <n v="5198.0"/>
        <n v="4005.0"/>
        <n v="4770.0"/>
        <n v="33567.0"/>
        <n v="8282.0"/>
        <n v="8673.0"/>
        <n v="5138.0"/>
        <n v="4073.0"/>
        <n v="12716.0"/>
        <n v="16661.0"/>
        <n v="5714.0"/>
        <n v="7109.0"/>
        <n v="2827.0"/>
        <n v="1517.0"/>
        <n v="1811.0"/>
        <n v="4446.0"/>
        <n v="2020.0"/>
        <n v="6054.0"/>
        <n v="5277.0"/>
        <n v="4857.0"/>
        <n v="4608.0"/>
        <n v="3032.0"/>
        <n v="13511.0"/>
        <n v="14334.0"/>
        <n v="8848.0"/>
        <n v="37986.0"/>
        <n v="4789.0"/>
        <n v="7941.0"/>
        <n v="10668.0"/>
        <n v="48840.0"/>
        <n v="4159.0"/>
        <n v="5851.0"/>
        <n v="7140.0"/>
        <n v="4781.0"/>
        <n v="22716.0"/>
        <n v="12757.0"/>
        <n v="17043.0"/>
        <n v="23377.0"/>
        <n v="6596.0"/>
        <n v="2603.0"/>
        <n v="2212.0"/>
        <n v="43448.0"/>
        <n v="5786.0"/>
        <n v="3371.0"/>
        <n v="15286.0"/>
        <n v="3554.0"/>
        <n v="35324.0"/>
        <n v="5366.0"/>
        <n v="33549.0"/>
        <n v="8718.0"/>
        <n v="161192.0"/>
        <n v="4291.0"/>
        <n v="6993.0"/>
        <n v="4360.0"/>
        <n v="26737.0"/>
        <n v="7135.0"/>
        <n v="4765.0"/>
        <n v="37792.0"/>
        <n v="4011.0"/>
        <n v="4000.0"/>
        <n v="3465.0"/>
        <n v="4926.0"/>
        <n v="20047.0"/>
        <n v="4961.0"/>
        <n v="15661.0"/>
        <n v="4145.0"/>
        <n v="6910.0"/>
        <n v="36731.0"/>
        <n v="2671.0"/>
        <n v="4533.0"/>
        <n v="69149.0"/>
        <n v="6418.0"/>
        <n v="11688.0"/>
        <n v="18040.0"/>
        <n v="20548.0"/>
        <n v="151329.0"/>
        <n v="7870.0"/>
        <n v="26252.0"/>
        <n v="83704.0"/>
        <n v="12114.0"/>
        <n v="144601.0"/>
        <n v="16307.0"/>
        <n v="15470.0"/>
        <n v="5303.0"/>
        <n v="9246.0"/>
        <n v="35199.0"/>
        <n v="13003.0"/>
        <n v="37515.0"/>
        <n v="54535.0"/>
        <n v="3286.0"/>
        <n v="55083.0"/>
        <n v="105523.0"/>
        <n v="4731.0"/>
        <n v="5719.0"/>
        <n v="8983.0"/>
        <n v="126841.0"/>
        <n v="7210.0"/>
        <n v="60457.0"/>
        <n v="9370.0"/>
        <n v="21973.0"/>
        <n v="5225.0"/>
        <n v="222804.0"/>
        <n v="16740.0"/>
        <n v="49519.0"/>
        <n v="8791.0"/>
        <n v="1043089.0"/>
        <n v="15487.0"/>
        <n v="112048.0"/>
        <n v="25000.0"/>
        <n v="16755.0"/>
        <n v="32334.0"/>
        <n v="193938.0"/>
        <n v="8779.0"/>
        <n v="7694.0"/>
        <n v="31186.0"/>
        <n v="43505.0"/>
        <n v="4691.0"/>
        <n v="10417.0"/>
        <n v="7753.0"/>
        <n v="13241.0"/>
        <n v="9694.0"/>
        <n v="5824.0"/>
        <n v="18468.0"/>
        <n v="5758.0"/>
        <n v="27888.0"/>
        <n v="13788.0"/>
        <n v="10117.0"/>
        <n v="20758.0"/>
        <n v="19959.0"/>
        <n v="127771.0"/>
        <n v="8273.0"/>
        <n v="18374.0"/>
        <n v="9929.0"/>
        <n v="27995.0"/>
        <n v="3511.0"/>
        <n v="17219.0"/>
        <n v="16408.0"/>
        <n v="4747.0"/>
        <n v="12365.0"/>
        <n v="20016.0"/>
        <n v="4942.0"/>
        <n v="12461.0"/>
        <n v="25472.0"/>
        <n v="5384.0"/>
        <n v="6661.0"/>
        <n v="35211.0"/>
        <n v="3950.0"/>
        <n v="9415.0"/>
        <n v="61861.0"/>
        <n v="3840.0"/>
        <n v="6409.0"/>
        <n v="125075.0"/>
        <n v="12352.0"/>
        <n v="13402.0"/>
        <n v="10808.0"/>
        <n v="12244.0"/>
        <n v="192565.0"/>
        <n v="86295.0"/>
        <n v="7783.0"/>
        <n v="5300.0"/>
        <n v="19481.0"/>
        <n v="10779.0"/>
        <n v="21393.0"/>
        <n v="12681.0"/>
        <n v="21481.0"/>
        <n v="10259.0"/>
        <n v="31416.0"/>
        <n v="17202.0"/>
        <n v="20371.0"/>
        <n v="98432.0"/>
        <n v="60087.0"/>
        <n v="5427.0"/>
        <n v="12460.0"/>
        <n v="84520.0"/>
        <n v="4394.0"/>
        <n v="23546.0"/>
        <n v="16164.0"/>
        <n v="20112.0"/>
        <n v="11105.0"/>
        <n v="25968.0"/>
        <n v="19206.0"/>
        <n v="54064.0"/>
        <n v="22978.0"/>
        <n v="20104.0"/>
        <n v="13773.0"/>
        <n v="99791.0"/>
        <n v="7038.0"/>
        <n v="13520.0"/>
        <n v="27445.0"/>
        <n v="70875.0"/>
        <n v="2309.0"/>
        <n v="18122.0"/>
        <n v="97017.0"/>
        <n v="193387.0"/>
        <n v="11892.0"/>
        <n v="7475.0"/>
        <n v="21634.0"/>
        <n v="331333.0"/>
        <n v="4010.0"/>
        <n v="10165.0"/>
        <n v="15893.0"/>
        <n v="1047015.0"/>
        <n v="9096.0"/>
        <n v="7737.0"/>
        <n v="169742.0"/>
        <n v="26945.0"/>
        <n v="3544.0"/>
        <n v="8237.0"/>
        <n v="77389.0"/>
        <n v="10316.0"/>
        <n v="15095.0"/>
        <n v="19444.0"/>
        <n v="10604.0"/>
        <n v="9660.0"/>
        <n v="24002.0"/>
        <n v="25340.0"/>
        <n v="16933.0"/>
        <n v="17803.0"/>
        <n v="15828.0"/>
        <n v="41039.0"/>
        <n v="160430.0"/>
        <n v="14024.0"/>
        <n v="9448.0"/>
        <n v="36038.0"/>
        <n v="59462.0"/>
        <n v="22444.0"/>
        <n v="34784.0"/>
        <n v="14526.0"/>
        <n v="15638.0"/>
        <n v="23685.0"/>
        <n v="12999.0"/>
        <n v="185886.0"/>
        <n v="14247.0"/>
        <n v="26395.0"/>
        <n v="16009.0"/>
        <n v="11965.0"/>
        <n v="5919.0"/>
        <n v="11981.0"/>
        <n v="29510.0"/>
        <n v="26138.0"/>
        <n v="6664.0"/>
        <n v="36340.0"/>
        <n v="13366.0"/>
        <n v="78757.0"/>
        <n v="17349.0"/>
        <n v="54477.0"/>
        <n v="72097.0"/>
        <n v="40554.0"/>
        <n v="31106.0"/>
        <n v="59666.0"/>
        <n v="33433.0"/>
        <n v="28196.0"/>
        <n v="51950.0"/>
        <n v="34201.0"/>
        <n v="57877.0"/>
        <n v="59310.0"/>
        <n v="2498.0"/>
        <n v="11851.0"/>
        <n v="25908.0"/>
        <n v="19600.0"/>
        <n v="68069.0"/>
        <n v="33354.0"/>
        <n v="6202.0"/>
        <n v="40758.0"/>
        <n v="14502.0"/>
        <n v="3380.0"/>
        <n v="9701.0"/>
        <n v="48801.0"/>
        <n v="3573.0"/>
        <n v="12125.0"/>
        <n v="14571.0"/>
        <n v="29944.0"/>
        <n v="66811.0"/>
        <n v="7330.0"/>
        <n v="13791.0"/>
        <n v="39879.0"/>
        <n v="7281.0"/>
        <n v="13080.0"/>
        <n v="11322.0"/>
        <n v="57847.0"/>
        <n v="6266.0"/>
        <n v="6248.0"/>
        <n v="30743.0"/>
        <n v="11323.0"/>
        <n v="4973.0"/>
        <n v="4642.0"/>
        <n v="28754.0"/>
        <n v="54599.0"/>
        <n v="15315.0"/>
        <n v="49025.0"/>
        <n v="153346.0"/>
        <n v="32100.0"/>
        <n v="17596.0"/>
        <n v="24770.0"/>
        <n v="22840.0"/>
        <n v="39507.0"/>
        <n v="19167.0"/>
        <n v="59211.0"/>
        <n v="11788.0"/>
        <n v="289133.0"/>
        <n v="100721.0"/>
        <n v="164723.0"/>
        <n v="80325.0"/>
        <n v="6378.0"/>
        <n v="74580.0"/>
        <n v="106400.0"/>
        <n v="11962.0"/>
        <n v="46681.0"/>
        <n v="47207.0"/>
        <n v="19228.0"/>
        <n v="9004.0"/>
        <n v="15832.0"/>
        <n v="80521.0"/>
        <n v="76778.0"/>
        <n v="5271.0"/>
        <n v="45586.0"/>
        <n v="11761.0"/>
        <n v="17908.0"/>
        <n v="19815.0"/>
        <n v="10423.0"/>
        <n v="21398.0"/>
        <n v="22606.0"/>
        <n v="14004.0"/>
        <n v="201944.0"/>
        <n v="5255.0"/>
        <n v="8343.0"/>
        <n v="9647.0"/>
        <n v="14883.0"/>
        <n v="4161.0"/>
        <n v="5787.0"/>
        <n v="8342.0"/>
        <n v="38265.0"/>
        <n v="7589.0"/>
        <n v="92382.0"/>
        <n v="1987.0"/>
        <n v="31171.0"/>
        <n v="40636.0"/>
        <n v="9287.0"/>
        <n v="5248.0"/>
        <n v="5922.0"/>
        <n v="7772.0"/>
        <n v="6991.0"/>
        <n v="15282.0"/>
        <n v="385881.0"/>
        <n v="4572.0"/>
        <n v="7504.0"/>
        <n v="8213.0"/>
        <n v="6400.0"/>
        <n v="3453.0"/>
        <n v="5817.0"/>
        <n v="66721.0"/>
        <n v="20089.0"/>
        <n v="24008.0"/>
        <n v="30350.0"/>
        <n v="70548.0"/>
        <n v="9368.0"/>
        <n v="7320.0"/>
        <n v="18264.0"/>
        <n v="17792.0"/>
        <n v="4218.0"/>
        <n v="24835.0"/>
        <n v="39583.0"/>
        <n v="15498.0"/>
        <n v="10133.0"/>
        <n v="6300.0"/>
        <n v="55648.0"/>
        <n v="15014.0"/>
        <n v="4928.0"/>
        <n v="103815.0"/>
        <n v="9800.0"/>
        <n v="21721.0"/>
        <n v="19914.0"/>
        <n v="23894.0"/>
        <n v="20210.0"/>
        <n v="3793.0"/>
        <n v="9873.0"/>
        <n v="10736.0"/>
        <n v="3426.0"/>
        <n v="3392.0"/>
        <n v="34700.0"/>
        <n v="5036.0"/>
        <n v="9320.0"/>
        <n v="9969.0"/>
        <n v="21089.0"/>
        <n v="17451.0"/>
        <n v="11461.0"/>
        <n v="4346.0"/>
        <n v="7483.0"/>
        <n v="128573.0"/>
        <n v="13959.0"/>
        <n v="71151.0"/>
        <n v="15951.0"/>
        <n v="6116.0"/>
        <n v="11583.0"/>
        <n v="36878.0"/>
        <n v="11652.0"/>
        <n v="11200.0"/>
        <n v="4610.0"/>
        <n v="5746.0"/>
        <n v="8668.0"/>
        <n v="36256.0"/>
        <n v="7410.0"/>
        <n v="4631.0"/>
        <n v="34527.0"/>
        <n v="59151.0"/>
        <n v="54135.0"/>
        <n v="4810.0"/>
        <n v="7742.0"/>
        <n v="6978.0"/>
        <n v="34114.0"/>
        <n v="4423.0"/>
        <n v="8087.0"/>
        <n v="32721.0"/>
        <n v="32221.0"/>
        <n v="8059.0"/>
        <n v="8209.0"/>
        <n v="26321.0"/>
        <n v="8667.0"/>
        <n v="9059.0"/>
        <n v="3983.0"/>
        <n v="5813.0"/>
        <n v="46363.0"/>
        <n v="76848.0"/>
        <n v="3025.0"/>
        <n v="29739.0"/>
        <n v="11212.0"/>
        <n v="8365.0"/>
        <n v="10107.0"/>
        <n v="24211.0"/>
        <n v="51970.0"/>
        <n v="21878.0"/>
        <n v="22624.0"/>
        <n v="16952.0"/>
        <n v="14570.0"/>
        <n v="59876.0"/>
        <n v="10159.0"/>
        <n v="3667.0"/>
        <n v="53720.0"/>
        <n v="31722.0"/>
        <n v="5377.0"/>
        <n v="9171.0"/>
        <n v="6825.0"/>
        <n v="5413.0"/>
        <n v="71396.0"/>
        <n v="84323.0"/>
        <n v="2481.0"/>
        <n v="8410.0"/>
        <n v="9213.0"/>
        <n v="43305.0"/>
        <n v="3672.0"/>
        <n v="14259.0"/>
        <n v="15550.0"/>
        <n v="3934.0"/>
        <n v="22085.0"/>
        <n v="2865.0"/>
        <n v="7774.0"/>
        <n v="10822.0"/>
        <n v="5139.0"/>
        <n v="5835.0"/>
        <n v="6763.0"/>
        <n v="9959.0"/>
        <n v="29009.0"/>
        <n v="204466.0"/>
        <n v="4427.0"/>
        <n v="19318.0"/>
        <n v="5809.0"/>
        <n v="4478.0"/>
        <n v="9003.0"/>
        <n v="42603.0"/>
        <n v="28674.0"/>
        <n v="18912.0"/>
        <n v="53944.0"/>
        <n v="54970.0"/>
        <n v="4938.0"/>
        <n v="26890.0"/>
        <n v="46210.0"/>
        <n v="12394.0"/>
        <n v="28306.0"/>
        <n v="14144.0"/>
        <n v="44275.0"/>
        <n v="34412.0"/>
        <n v="61752.0"/>
        <n v="21926.0"/>
        <n v="34481.0"/>
        <n v="34682.0"/>
        <n v="133836.0"/>
        <n v="21463.0"/>
        <n v="12004.0"/>
        <n v="41137.0"/>
        <n v="9971.0"/>
        <n v="36570.0"/>
        <n v="83543.0"/>
        <n v="9488.0"/>
        <n v="3923.0"/>
        <n v="33065.0"/>
        <n v="54214.0"/>
        <n v="19137.0"/>
        <n v="5141.0"/>
        <n v="6308.0"/>
        <n v="79922.0"/>
        <n v="30405.0"/>
        <n v="4724.0"/>
        <n v="113044.0"/>
        <n v="255578.0"/>
        <n v="6197.0"/>
        <n v="4278.0"/>
        <n v="3837.0"/>
        <n v="67643.0"/>
        <n v="4490.0"/>
        <n v="42040.0"/>
        <n v="2932.0"/>
        <n v="2974.0"/>
        <n v="16242.0"/>
        <n v="3388.0"/>
        <n v="13319.0"/>
        <n v="4648.0"/>
        <n v="236104.0"/>
        <n v="15671.0"/>
        <n v="13133.0"/>
        <n v="13578.0"/>
        <n v="47946.0"/>
        <n v="5622.0"/>
        <n v="6218.0"/>
        <n v="8814.0"/>
        <n v="7407.0"/>
        <n v="1954.0"/>
        <n v="7855.0"/>
        <n v="8525.0"/>
        <n v="2405.0"/>
        <n v="2580.0"/>
        <n v="12252.0"/>
        <n v="4627.0"/>
        <n v="5223.0"/>
        <n v="38046.0"/>
        <n v="29492.0"/>
        <n v="38817.0"/>
        <n v="10062.0"/>
        <n v="43518.0"/>
        <n v="15692.0"/>
        <n v="50825.0"/>
        <n v="60245.0"/>
        <n v="20106.0"/>
        <n v="85946.0"/>
        <n v="70502.0"/>
      </sharedItems>
    </cacheField>
    <cacheField name="Likes" numFmtId="0">
      <sharedItems containsSemiMixedTypes="0" containsString="0" containsNumber="1" containsInteger="1">
        <n v="170.0"/>
        <n v="104.0"/>
        <n v="107.0"/>
        <n v="237.0"/>
        <n v="122.0"/>
        <n v="130.0"/>
        <n v="196.0"/>
        <n v="115.0"/>
        <n v="161.0"/>
        <n v="143.0"/>
        <n v="228.0"/>
        <n v="190.0"/>
        <n v="468.0"/>
        <n v="119.0"/>
        <n v="206.0"/>
        <n v="109.0"/>
        <n v="154.0"/>
        <n v="169.0"/>
        <n v="711.0"/>
        <n v="40.0"/>
        <n v="365.0"/>
        <n v="432.0"/>
        <n v="238.0"/>
        <n v="758.0"/>
        <n v="134.0"/>
        <n v="301.0"/>
        <n v="234.0"/>
        <n v="124.0"/>
        <n v="159.0"/>
        <n v="76.0"/>
        <n v="105.0"/>
        <n v="133.0"/>
        <n v="248.0"/>
        <n v="77.0"/>
        <n v="284.0"/>
        <n v="282.0"/>
        <n v="86.0"/>
        <n v="239.0"/>
        <n v="145.0"/>
        <n v="792.0"/>
        <n v="364.0"/>
        <n v="313.0"/>
        <n v="182.0"/>
        <n v="116.0"/>
        <n v="259.0"/>
        <n v="526.0"/>
        <n v="263.0"/>
        <n v="53.0"/>
        <n v="36.0"/>
        <n v="72.0"/>
        <n v="205.0"/>
        <n v="38.0"/>
        <n v="272.0"/>
        <n v="204.0"/>
        <n v="188.0"/>
        <n v="70.0"/>
        <n v="488.0"/>
        <n v="560.0"/>
        <n v="293.0"/>
        <n v="684.0"/>
        <n v="97.0"/>
        <n v="420.0"/>
        <n v="381.0"/>
        <n v="1209.0"/>
        <n v="78.0"/>
        <n v="373.0"/>
        <n v="198.0"/>
        <n v="383.0"/>
        <n v="287.0"/>
        <n v="438.0"/>
        <n v="536.0"/>
        <n v="270.0"/>
        <n v="103.0"/>
        <n v="112.0"/>
        <n v="962.0"/>
        <n v="230.0"/>
        <n v="82.0"/>
        <n v="422.0"/>
        <n v="952.0"/>
        <n v="815.0"/>
        <n v="434.0"/>
        <n v="3641.0"/>
        <n v="225.0"/>
        <n v="506.0"/>
        <n v="279.0"/>
        <n v="716.0"/>
        <n v="477.0"/>
        <n v="323.0"/>
        <n v="1692.0"/>
        <n v="256.0"/>
        <n v="305.0"/>
        <n v="261.0"/>
        <n v="213.0"/>
        <n v="511.0"/>
        <n v="296.0"/>
        <n v="686.0"/>
        <n v="233.0"/>
        <n v="885.0"/>
        <n v="211.0"/>
        <n v="2961.0"/>
        <n v="328.0"/>
        <n v="497.0"/>
        <n v="443.0"/>
        <n v="5441.0"/>
        <n v="440.0"/>
        <n v="766.0"/>
        <n v="2022.0"/>
        <n v="614.0"/>
        <n v="3141.0"/>
        <n v="810.0"/>
        <n v="779.0"/>
        <n v="335.0"/>
        <n v="530.0"/>
        <n v="747.0"/>
        <n v="577.0"/>
        <n v="787.0"/>
        <n v="1108.0"/>
        <n v="144.0"/>
        <n v="1201.0"/>
        <n v="2027.0"/>
        <n v="226.0"/>
        <n v="359.0"/>
        <n v="3021.0"/>
        <n v="262.0"/>
        <n v="1570.0"/>
        <n v="451.0"/>
        <n v="501.0"/>
        <n v="241.0"/>
        <n v="5949.0"/>
        <n v="573.0"/>
        <n v="997.0"/>
        <n v="576.0"/>
        <n v="23695.0"/>
        <n v="921.0"/>
        <n v="2349.0"/>
        <n v="917.0"/>
        <n v="447.0"/>
        <n v="714.0"/>
        <n v="4358.0"/>
        <n v="439.0"/>
        <n v="1985.0"/>
        <n v="1229.0"/>
        <n v="242.0"/>
        <n v="398.0"/>
        <n v="274.0"/>
        <n v="446.0"/>
        <n v="402.0"/>
        <n v="271.0"/>
        <n v="551.0"/>
        <n v="1215.0"/>
        <n v="720.0"/>
        <n v="339.0"/>
        <n v="690.0"/>
        <n v="937.0"/>
        <n v="3227.0"/>
        <n v="391.0"/>
        <n v="836.0"/>
        <n v="232.0"/>
        <n v="1076.0"/>
        <n v="123.0"/>
        <n v="844.0"/>
        <n v="251.0"/>
        <n v="548.0"/>
        <n v="786.0"/>
        <n v="178.0"/>
        <n v="484.0"/>
        <n v="807.0"/>
        <n v="235.0"/>
        <n v="419.0"/>
        <n v="1191.0"/>
        <n v="437.0"/>
        <n v="1877.0"/>
        <n v="126.0"/>
        <n v="319.0"/>
        <n v="3895.0"/>
        <n v="712.0"/>
        <n v="481.0"/>
        <n v="464.0"/>
        <n v="244.0"/>
        <n v="5444.0"/>
        <n v="1758.0"/>
        <n v="311.0"/>
        <n v="174.0"/>
        <n v="862.0"/>
        <n v="514.0"/>
        <n v="817.0"/>
        <n v="818.0"/>
        <n v="1089.0"/>
        <n v="1103.0"/>
        <n v="863.0"/>
        <n v="508.0"/>
        <n v="4429.0"/>
        <n v="1857.0"/>
        <n v="208.0"/>
        <n v="358.0"/>
        <n v="2627.0"/>
        <n v="871.0"/>
        <n v="1144.0"/>
        <n v="933.0"/>
        <n v="397.0"/>
        <n v="869.0"/>
        <n v="1270.0"/>
        <n v="2467.0"/>
        <n v="742.0"/>
        <n v="357.0"/>
        <n v="835.0"/>
        <n v="2650.0"/>
        <n v="207.0"/>
        <n v="596.0"/>
        <n v="1274.0"/>
        <n v="2401.0"/>
        <n v="99.0"/>
        <n v="589.0"/>
        <n v="3074.0"/>
        <n v="4418.0"/>
        <n v="382.0"/>
        <n v="1013.0"/>
        <n v="8632.0"/>
        <n v="179.0"/>
        <n v="455.0"/>
        <n v="28976.0"/>
        <n v="516.0"/>
        <n v="7064.0"/>
        <n v="814.0"/>
        <n v="465.0"/>
        <n v="1918.0"/>
        <n v="212.0"/>
        <n v="623.0"/>
        <n v="678.0"/>
        <n v="452.0"/>
        <n v="425.0"/>
        <n v="808.0"/>
        <n v="1014.0"/>
        <n v="744.0"/>
        <n v="366.0"/>
        <n v="639.0"/>
        <n v="1621.0"/>
        <n v="3209.0"/>
        <n v="215.0"/>
        <n v="1225.0"/>
        <n v="2071.0"/>
        <n v="492.0"/>
        <n v="1420.0"/>
        <n v="737.0"/>
        <n v="581.0"/>
        <n v="4295.0"/>
        <n v="470.0"/>
        <n v="973.0"/>
        <n v="788.0"/>
        <n v="257.0"/>
        <n v="340.0"/>
        <n v="404.0"/>
        <n v="336.0"/>
        <n v="1509.0"/>
        <n v="509.0"/>
        <n v="330.0"/>
        <n v="877.0"/>
        <n v="533.0"/>
        <n v="1826.0"/>
        <n v="793.0"/>
        <n v="1966.0"/>
        <n v="1957.0"/>
        <n v="1202.0"/>
        <n v="2321.0"/>
        <n v="1204.0"/>
        <n v="731.0"/>
        <n v="1422.0"/>
        <n v="640.0"/>
        <n v="2073.0"/>
        <n v="2499.0"/>
        <n v="147.0"/>
        <n v="695.0"/>
        <n v="568.0"/>
        <n v="2335.0"/>
        <n v="1100.0"/>
        <n v="1549.0"/>
        <n v="407.0"/>
        <n v="140.0"/>
        <n v="453.0"/>
        <n v="1592.0"/>
        <n v="473.0"/>
        <n v="368.0"/>
        <n v="600.0"/>
        <n v="1789.0"/>
        <n v="376.0"/>
        <n v="307.0"/>
        <n v="1452.0"/>
        <n v="267.0"/>
        <n v="495.0"/>
        <n v="1733.0"/>
        <n v="315.0"/>
        <n v="1375.0"/>
        <n v="151.0"/>
        <n v="819.0"/>
        <n v="1904.0"/>
        <n v="734.0"/>
        <n v="1101.0"/>
        <n v="4006.0"/>
        <n v="1182.0"/>
        <n v="617.0"/>
        <n v="935.0"/>
        <n v="1008.0"/>
        <n v="1169.0"/>
        <n v="1037.0"/>
        <n v="1661.0"/>
        <n v="5529.0"/>
        <n v="3529.0"/>
        <n v="4217.0"/>
        <n v="2523.0"/>
        <n v="302.0"/>
        <n v="2784.0"/>
        <n v="4244.0"/>
        <n v="491.0"/>
        <n v="2025.0"/>
        <n v="1463.0"/>
        <n v="1314.0"/>
        <n v="460.0"/>
        <n v="1750.0"/>
        <n v="3004.0"/>
        <n v="1220.0"/>
        <n v="585.0"/>
        <n v="1497.0"/>
        <n v="759.0"/>
        <n v="865.0"/>
        <n v="1057.0"/>
        <n v="3052.0"/>
        <n v="318.0"/>
        <n v="641.0"/>
        <n v="448.0"/>
        <n v="273.0"/>
        <n v="2069.0"/>
        <n v="4039.0"/>
        <n v="87.0"/>
        <n v="1165.0"/>
        <n v="996.0"/>
        <n v="430.0"/>
        <n v="222.0"/>
        <n v="547.0"/>
        <n v="372.0"/>
        <n v="487.0"/>
        <n v="4113.0"/>
        <n v="333.0"/>
        <n v="2235.0"/>
        <n v="1271.0"/>
        <n v="2268.0"/>
        <n v="374.0"/>
        <n v="295.0"/>
        <n v="700.0"/>
        <n v="756.0"/>
        <n v="409.0"/>
        <n v="1000.0"/>
        <n v="924.0"/>
        <n v="1019.0"/>
        <n v="574.0"/>
        <n v="290.0"/>
        <n v="2661.0"/>
        <n v="842.0"/>
        <n v="408.0"/>
        <n v="4145.0"/>
        <n v="804.0"/>
        <n v="660.0"/>
        <n v="1003.0"/>
        <n v="957.0"/>
        <n v="291.0"/>
        <n v="518.0"/>
        <n v="300.0"/>
        <n v="1694.0"/>
        <n v="353.0"/>
        <n v="630.0"/>
        <n v="898.0"/>
        <n v="634.0"/>
        <n v="3015.0"/>
        <n v="825.0"/>
        <n v="1995.0"/>
        <n v="276.0"/>
        <n v="587.0"/>
        <n v="1260.0"/>
        <n v="405.0"/>
        <n v="433.0"/>
        <n v="552.0"/>
        <n v="1262.0"/>
        <n v="380.0"/>
        <n v="1292.0"/>
        <n v="2614.0"/>
        <n v="1702.0"/>
        <n v="479.0"/>
        <n v="466.0"/>
        <n v="1916.0"/>
        <n v="367.0"/>
        <n v="1599.0"/>
        <n v="1142.0"/>
        <n v="584.0"/>
        <n v="661.0"/>
        <n v="1482.0"/>
        <n v="571.0"/>
        <n v="752.0"/>
        <n v="1746.0"/>
        <n v="3013.0"/>
        <n v="83.0"/>
        <n v="1176.0"/>
        <n v="525.0"/>
        <n v="462.0"/>
        <n v="1050.0"/>
        <n v="2354.0"/>
        <n v="1047.0"/>
        <n v="881.0"/>
        <n v="673.0"/>
        <n v="730.0"/>
        <n v="1254.0"/>
        <n v="735.0"/>
        <n v="155.0"/>
        <n v="1859.0"/>
        <n v="1618.0"/>
        <n v="298.0"/>
        <n v="486.0"/>
        <n v="321.0"/>
        <n v="428.0"/>
        <n v="2434.0"/>
        <n v="2869.0"/>
        <n v="326.0"/>
        <n v="671.0"/>
        <n v="1611.0"/>
        <n v="150.0"/>
        <n v="520.0"/>
        <n v="229.0"/>
        <n v="1133.0"/>
        <n v="135.0"/>
        <n v="412.0"/>
        <n v="354.0"/>
        <n v="626.0"/>
        <n v="1359.0"/>
        <n v="7537.0"/>
        <n v="281.0"/>
        <n v="597.0"/>
        <n v="415.0"/>
        <n v="388.0"/>
        <n v="1533.0"/>
        <n v="1128.0"/>
        <n v="2109.0"/>
        <n v="2105.0"/>
        <n v="320.0"/>
        <n v="1708.0"/>
        <n v="608.0"/>
        <n v="1293.0"/>
        <n v="990.0"/>
        <n v="1775.0"/>
        <n v="685.0"/>
        <n v="1663.0"/>
        <n v="4160.0"/>
        <n v="493.0"/>
        <n v="1072.0"/>
        <n v="494.0"/>
        <n v="1112.0"/>
        <n v="2289.0"/>
        <n v="926.0"/>
        <n v="1993.0"/>
        <n v="2541.0"/>
        <n v="1111.0"/>
        <n v="247.0"/>
        <n v="3150.0"/>
        <n v="6830.0"/>
        <n v="163.0"/>
        <n v="221.0"/>
        <n v="2495.0"/>
        <n v="1107.0"/>
        <n v="157.0"/>
        <n v="171.0"/>
        <n v="910.0"/>
        <n v="176.0"/>
        <n v="726.0"/>
        <n v="246.0"/>
        <n v="8672.0"/>
        <n v="515.0"/>
        <n v="519.0"/>
        <n v="1671.0"/>
        <n v="342.0"/>
        <n v="393.0"/>
        <n v="363.0"/>
        <n v="92.0"/>
        <n v="118.0"/>
        <n v="202.0"/>
        <n v="252.0"/>
        <n v="1521.0"/>
        <n v="878.0"/>
        <n v="822.0"/>
        <n v="1373.0"/>
        <n v="586.0"/>
        <n v="1795.0"/>
        <n v="1856.0"/>
        <n v="826.0"/>
        <n v="3102.0"/>
        <n v="3118.0"/>
      </sharedItems>
    </cacheField>
    <cacheField name="Comments" numFmtId="0">
      <sharedItems containsSemiMixedTypes="0" containsString="0" containsNumber="1" containsInteger="1">
        <n v="6.0"/>
        <n v="10.0"/>
        <n v="3.0"/>
        <n v="18.0"/>
        <n v="26.0"/>
        <n v="7.0"/>
        <n v="20.0"/>
        <n v="23.0"/>
        <n v="17.0"/>
        <n v="14.0"/>
        <n v="33.0"/>
        <n v="16.0"/>
        <n v="41.0"/>
        <n v="8.0"/>
        <n v="13.0"/>
        <n v="11.0"/>
        <n v="65.0"/>
        <n v="2.0"/>
        <n v="32.0"/>
        <n v="25.0"/>
        <n v="82.0"/>
        <n v="5.0"/>
        <n v="22.0"/>
        <n v="28.0"/>
        <n v="24.0"/>
        <n v="59.0"/>
        <n v="37.0"/>
        <n v="31.0"/>
        <n v="36.0"/>
        <n v="9.0"/>
        <n v="0.0"/>
        <n v="27.0"/>
        <n v="15.0"/>
        <n v="49.0"/>
        <n v="39.0"/>
        <n v="100.0"/>
        <n v="19.0"/>
        <n v="30.0"/>
        <n v="12.0"/>
        <n v="76.0"/>
        <n v="42.0"/>
        <n v="121.0"/>
        <n v="21.0"/>
        <n v="45.0"/>
        <n v="111.0"/>
        <n v="43.0"/>
        <n v="170.0"/>
        <n v="112.0"/>
        <n v="148.0"/>
        <n v="34.0"/>
        <n v="67.0"/>
        <n v="83.0"/>
        <n v="110.0"/>
        <n v="188.0"/>
        <n v="102.0"/>
        <n v="4.0"/>
        <n v="61.0"/>
        <n v="183.0"/>
        <n v="748.0"/>
        <n v="29.0"/>
        <n v="127.0"/>
        <n v="53.0"/>
        <n v="179.0"/>
        <n v="66.0"/>
        <n v="87.0"/>
        <n v="50.0"/>
        <n v="60.0"/>
        <n v="35.0"/>
        <n v="40.0"/>
        <n v="88.0"/>
        <n v="135.0"/>
        <n v="75.0"/>
        <n v="48.0"/>
        <n v="90.0"/>
        <n v="52.0"/>
        <n v="54.0"/>
        <n v="38.0"/>
        <n v="71.0"/>
        <n v="151.0"/>
        <n v="78.0"/>
        <n v="131.0"/>
        <n v="215.0"/>
        <n v="457.0"/>
        <n v="96.0"/>
        <n v="166.0"/>
        <n v="62.0"/>
        <n v="44.0"/>
        <n v="69.0"/>
        <n v="64.0"/>
        <n v="93.0"/>
        <n v="58.0"/>
        <n v="55.0"/>
        <n v="115.0"/>
        <n v="172.0"/>
        <n v="99.0"/>
        <n v="77.0"/>
        <n v="56.0"/>
        <n v="98.0"/>
        <n v="63.0"/>
        <n v="103.0"/>
        <n v="47.0"/>
        <n v="68.0"/>
        <n v="140.0"/>
        <n v="233.0"/>
        <n v="94.0"/>
        <n v="46.0"/>
        <n v="126.0"/>
        <n v="74.0"/>
        <n v="57.0"/>
        <n v="1.0"/>
        <n v="91.0"/>
      </sharedItems>
    </cacheField>
    <cacheField name="Thumbnail URL" numFmtId="0">
      <sharedItems>
        <s v="https://i.ytimg.com/vi/fs3ymeu4S4o/hqdefault.jpg"/>
        <s v="https://i.ytimg.com/vi/g0cpD5zRIv0/hqdefault.jpg"/>
        <s v="https://i.ytimg.com/vi/w88cFKw4ZRg/hqdefault.jpg"/>
        <s v="https://i.ytimg.com/vi/aEFQJPAOEsY/hqdefault.jpg"/>
        <s v="https://i.ytimg.com/vi/NykmV3um238/hqdefault.jpg"/>
        <s v="https://i.ytimg.com/vi/ibols1RooE0/hqdefault.jpg"/>
        <s v="https://i.ytimg.com/vi/aiQvqjCcrxA/hqdefault.jpg"/>
        <s v="https://i.ytimg.com/vi/ybRdZNf7zHE/hqdefault.jpg"/>
        <s v="https://i.ytimg.com/vi/fcOl7-Py1xI/hqdefault.jpg"/>
        <s v="https://i.ytimg.com/vi/gJKLJUTdolU/hqdefault.jpg"/>
        <s v="https://i.ytimg.com/vi/IqvK_labGWQ/hqdefault.jpg"/>
        <s v="https://i.ytimg.com/vi/mDc-yBAgaEw/hqdefault.jpg"/>
        <s v="https://i.ytimg.com/vi/c0YDkmdzPc4/hqdefault.jpg"/>
        <s v="https://i.ytimg.com/vi/k7BMZUDotVQ/hqdefault.jpg"/>
        <s v="https://i.ytimg.com/vi/khIPES9yoTw/hqdefault.jpg"/>
        <s v="https://i.ytimg.com/vi/k8BD2xBEvz4/hqdefault.jpg"/>
        <s v="https://i.ytimg.com/vi/hnYzC8FoiFA/hqdefault.jpg"/>
        <s v="https://i.ytimg.com/vi/b-zm0a3Cvhw/hqdefault.jpg"/>
        <s v="https://i.ytimg.com/vi/rTn49xI-JYs/hqdefault.jpg"/>
        <s v="https://i.ytimg.com/vi/Sbrny5XDIkI/hqdefault.jpg"/>
        <s v="https://i.ytimg.com/vi/EBVgY2QhaZU/hqdefault.jpg"/>
        <s v="https://i.ytimg.com/vi/lYc32tH-yoA/hqdefault.jpg"/>
        <s v="https://i.ytimg.com/vi/Zs0JLjy633M/hqdefault.jpg"/>
        <s v="https://i.ytimg.com/vi/OpVV9WydImo/hqdefault.jpg"/>
        <s v="https://i.ytimg.com/vi/X4s8pEniu2Y/hqdefault.jpg"/>
        <s v="https://i.ytimg.com/vi/8YhXikBY9HQ/hqdefault.jpg"/>
        <s v="https://i.ytimg.com/vi/bF4GqcOHs48/hqdefault.jpg"/>
        <s v="https://i.ytimg.com/vi/pg9m0coQQ5I/hqdefault.jpg"/>
        <s v="https://i.ytimg.com/vi/QR4withfuvw/hqdefault.jpg"/>
        <s v="https://i.ytimg.com/vi/Qlu5GxPQXdE/hqdefault.jpg"/>
        <s v="https://i.ytimg.com/vi/ymvm3XKZMUA/hqdefault.jpg"/>
        <s v="https://i.ytimg.com/vi/sJV3H29KeS4/hqdefault.jpg"/>
        <s v="https://i.ytimg.com/vi/EbkLGDc73dQ/hqdefault.jpg"/>
        <s v="https://i.ytimg.com/vi/sK9stIl_2GQ/hqdefault.jpg"/>
        <s v="https://i.ytimg.com/vi/IFvYypVvHWU/hqdefault.jpg"/>
        <s v="https://i.ytimg.com/vi/Mch7O7n2kqc/hqdefault.jpg"/>
        <s v="https://i.ytimg.com/vi/rYzKmlLJJ90/hqdefault.jpg"/>
        <s v="https://i.ytimg.com/vi/jM2XmcDJ3cs/hqdefault.jpg"/>
        <s v="https://i.ytimg.com/vi/Vs3wSCv4gi8/hqdefault.jpg"/>
        <s v="https://i.ytimg.com/vi/64csqupvpGs/hqdefault.jpg"/>
        <s v="https://i.ytimg.com/vi/td3srID3mRE/hqdefault.jpg"/>
        <s v="https://i.ytimg.com/vi/0f057xsM2kQ/hqdefault.jpg"/>
        <s v="https://i.ytimg.com/vi/JiMp4B_HXbA/hqdefault.jpg"/>
        <s v="https://i.ytimg.com/vi/vV-vVs6pyr0/hqdefault.jpg"/>
        <s v="https://i.ytimg.com/vi/KKb60wveIb0/hqdefault.jpg"/>
        <s v="https://i.ytimg.com/vi/kPp0HRfwhSc/hqdefault.jpg"/>
        <s v="https://i.ytimg.com/vi/gccQH3dlaP4/hqdefault.jpg"/>
        <s v="https://i.ytimg.com/vi/li51R3ns5uI/hqdefault.jpg"/>
        <s v="https://i.ytimg.com/vi/bjTFZqbmzW4/hqdefault.jpg"/>
        <s v="https://i.ytimg.com/vi/U3bnYGwIMT8/hqdefault.jpg"/>
        <s v="https://i.ytimg.com/vi/n0qnVcweNV4/hqdefault.jpg"/>
        <s v="https://i.ytimg.com/vi/hbsi6U8T_dI/hqdefault.jpg"/>
        <s v="https://i.ytimg.com/vi/-eTI_o7yp0E/hqdefault.jpg"/>
        <s v="https://i.ytimg.com/vi/guJrJ59l5qY/hqdefault.jpg"/>
        <s v="https://i.ytimg.com/vi/kKU4UwpOsqk/hqdefault.jpg"/>
        <s v="https://i.ytimg.com/vi/IMyp_kHonus/hqdefault.jpg"/>
        <s v="https://i.ytimg.com/vi/_ZH5q7-Yiys/hqdefault.jpg"/>
        <s v="https://i.ytimg.com/vi/GO4HC4Yr0VQ/hqdefault.jpg"/>
        <s v="https://i.ytimg.com/vi/y0JB1BiE7Ig/hqdefault.jpg"/>
        <s v="https://i.ytimg.com/vi/XlryGjTWQjk/hqdefault.jpg"/>
        <s v="https://i.ytimg.com/vi/TmT9Gd7gzlw/hqdefault.jpg"/>
        <s v="https://i.ytimg.com/vi/uP5VreGrCW0/hqdefault.jpg"/>
        <s v="https://i.ytimg.com/vi/JbV8FpZVqxA/hqdefault.jpg"/>
        <s v="https://i.ytimg.com/vi/J8pqOmjuZOs/hqdefault.jpg"/>
        <s v="https://i.ytimg.com/vi/vKJQAN4FyMA/hqdefault.jpg"/>
        <s v="https://i.ytimg.com/vi/lEN7Dxt0hu8/hqdefault.jpg"/>
        <s v="https://i.ytimg.com/vi/yORQfR-X4Uo/hqdefault.jpg"/>
        <s v="https://i.ytimg.com/vi/cqXZ008X-4s/hqdefault.jpg"/>
        <s v="https://i.ytimg.com/vi/9u0ux6ezzpc/hqdefault.jpg"/>
        <s v="https://i.ytimg.com/vi/EEw2wU8Gyl0/hqdefault.jpg"/>
        <s v="https://i.ytimg.com/vi/4FXEyorIAHA/hqdefault.jpg"/>
        <s v="https://i.ytimg.com/vi/UnA3upqGVMI/hqdefault.jpg"/>
        <s v="https://i.ytimg.com/vi/qrx0yO_l9nQ/hqdefault.jpg"/>
        <s v="https://i.ytimg.com/vi/9N8bAMfYzTo/hqdefault.jpg"/>
        <s v="https://i.ytimg.com/vi/Cbm2zCGczXU/hqdefault.jpg"/>
        <s v="https://i.ytimg.com/vi/-SQixn7dBsI/hqdefault.jpg"/>
        <s v="https://i.ytimg.com/vi/6_TdKtAs0vs/hqdefault.jpg"/>
        <s v="https://i.ytimg.com/vi/WxNgfTxCyw0/hqdefault.jpg"/>
        <s v="https://i.ytimg.com/vi/MWSll2gn764/hqdefault.jpg"/>
        <s v="https://i.ytimg.com/vi/1D49iAS_pgk/hqdefault.jpg"/>
        <s v="https://i.ytimg.com/vi/wLqX6oX06QU/hqdefault.jpg"/>
        <s v="https://i.ytimg.com/vi/W5dpld02JaQ/hqdefault.jpg"/>
        <s v="https://i.ytimg.com/vi/ayyD4Gn8dO0/hqdefault.jpg"/>
        <s v="https://i.ytimg.com/vi/lGhHKmHOP1A/hqdefault.jpg"/>
        <s v="https://i.ytimg.com/vi/bqTTLp6tl70/hqdefault.jpg"/>
        <s v="https://i.ytimg.com/vi/o6Oc80s0-yc/hqdefault.jpg"/>
        <s v="https://i.ytimg.com/vi/gP6ZGj90hgo/hqdefault.jpg"/>
        <s v="https://i.ytimg.com/vi/b8jDVM1CQD8/hqdefault.jpg"/>
        <s v="https://i.ytimg.com/vi/yulWi_0y5A4/hqdefault.jpg"/>
        <s v="https://i.ytimg.com/vi/rjl5aF6kESM/hqdefault.jpg"/>
        <s v="https://i.ytimg.com/vi/mRQBZVPK660/hqdefault.jpg"/>
        <s v="https://i.ytimg.com/vi/GHVc0pRgjXQ/hqdefault.jpg"/>
        <s v="https://i.ytimg.com/vi/5RKpukhayDM/hqdefault.jpg"/>
        <s v="https://i.ytimg.com/vi/O9bUjAaLygY/hqdefault.jpg"/>
        <s v="https://i.ytimg.com/vi/GP0zpFZk7Sw/hqdefault.jpg"/>
        <s v="https://i.ytimg.com/vi/kisztCOoq7g/hqdefault.jpg"/>
        <s v="https://i.ytimg.com/vi/q3iOD1yem04/hqdefault.jpg"/>
        <s v="https://i.ytimg.com/vi/_JGSV_hcOVo/hqdefault.jpg"/>
        <s v="https://i.ytimg.com/vi/iOMGQnFxBQo/hqdefault.jpg"/>
        <s v="https://i.ytimg.com/vi/A0BGtayaX9Y/hqdefault.jpg"/>
        <s v="https://i.ytimg.com/vi/u7Ek1KYAAbE/hqdefault.jpg"/>
        <s v="https://i.ytimg.com/vi/YWtnnGVxLOA/hqdefault.jpg"/>
        <s v="https://i.ytimg.com/vi/ip_vWNyLj5w/hqdefault.jpg"/>
        <s v="https://i.ytimg.com/vi/P_CcIGUxyK8/hqdefault.jpg"/>
        <s v="https://i.ytimg.com/vi/2xk96FcuwtU/hqdefault.jpg"/>
        <s v="https://i.ytimg.com/vi/pNOPlcJXfS0/hqdefault.jpg"/>
        <s v="https://i.ytimg.com/vi/BvZDMHhcmcY/hqdefault.jpg"/>
        <s v="https://i.ytimg.com/vi/Ogzc20m5rhU/hqdefault.jpg"/>
        <s v="https://i.ytimg.com/vi/Euefcm_2ZOE/hqdefault.jpg"/>
        <s v="https://i.ytimg.com/vi/kIacke9mYbY/hqdefault.jpg"/>
        <s v="https://i.ytimg.com/vi/rMlPcKzPZZY/hqdefault.jpg"/>
        <s v="https://i.ytimg.com/vi/R_D3RHyHhpM/hqdefault.jpg"/>
        <s v="https://i.ytimg.com/vi/RyI5f-EBc4c/hqdefault.jpg"/>
        <s v="https://i.ytimg.com/vi/qjAhOvkzFlQ/hqdefault.jpg"/>
        <s v="https://i.ytimg.com/vi/qUO-KMPShNw/hqdefault.jpg"/>
        <s v="https://i.ytimg.com/vi/V_1PBDemtME/hqdefault.jpg"/>
        <s v="https://i.ytimg.com/vi/2ZBZDGDDt4I/hqdefault.jpg"/>
        <s v="https://i.ytimg.com/vi/N1LNvbTEbsQ/hqdefault.jpg"/>
        <s v="https://i.ytimg.com/vi/BXI_odxl-hE/hqdefault.jpg"/>
        <s v="https://i.ytimg.com/vi/dNeCiS0T-1U/hqdefault.jpg"/>
        <s v="https://i.ytimg.com/vi/jRw-YFeiiRA/hqdefault.jpg"/>
        <s v="https://i.ytimg.com/vi/msg3FMVw_-s/hqdefault.jpg"/>
        <s v="https://i.ytimg.com/vi/ivHLaKG38qw/hqdefault.jpg"/>
        <s v="https://i.ytimg.com/vi/NEtMwz2WIk4/hqdefault.jpg"/>
        <s v="https://i.ytimg.com/vi/RiOP0YajFFg/hqdefault.jpg"/>
        <s v="https://i.ytimg.com/vi/nePjL1PDhHk/hqdefault.jpg"/>
        <s v="https://i.ytimg.com/vi/myyI-Wpp_kg/hqdefault.jpg"/>
        <s v="https://i.ytimg.com/vi/D5iG6EiiVkc/hqdefault.jpg"/>
        <s v="https://i.ytimg.com/vi/54u9wuZMGCE/hqdefault.jpg"/>
        <s v="https://i.ytimg.com/vi/GAfbM5gONHc/hqdefault.jpg"/>
        <s v="https://i.ytimg.com/vi/KCQpbZA84yU/hqdefault.jpg"/>
        <s v="https://i.ytimg.com/vi/bpXWTPa-erk/hqdefault.jpg"/>
        <s v="https://i.ytimg.com/vi/tuSsHT-YHec/hqdefault.jpg"/>
        <s v="https://i.ytimg.com/vi/ISTy-WcJfWE/hqdefault.jpg"/>
        <s v="https://i.ytimg.com/vi/JdgXt4saeZU/hqdefault.jpg"/>
        <s v="https://i.ytimg.com/vi/Lm1o1yWSENk/hqdefault.jpg"/>
        <s v="https://i.ytimg.com/vi/PNzMVq3sHa8/hqdefault.jpg"/>
        <s v="https://i.ytimg.com/vi/bi3Ij1SBBtk/hqdefault.jpg"/>
        <s v="https://i.ytimg.com/vi/PHVuCaDABec/hqdefault.jpg"/>
        <s v="https://i.ytimg.com/vi/5Ab2AMWEEzU/hqdefault.jpg"/>
        <s v="https://i.ytimg.com/vi/beNUQunShgs/hqdefault.jpg"/>
        <s v="https://i.ytimg.com/vi/8_oX0nzRlkI/hqdefault.jpg"/>
        <s v="https://i.ytimg.com/vi/mYSAPVe1L1s/hqdefault.jpg"/>
        <s v="https://i.ytimg.com/vi/AKJLln-sxxI/hqdefault.jpg"/>
        <s v="https://i.ytimg.com/vi/eAI2Hq1JQzQ/hqdefault.jpg"/>
        <s v="https://i.ytimg.com/vi/bYipeVuTN7U/hqdefault.jpg"/>
        <s v="https://i.ytimg.com/vi/DQacRlsZDo0/hqdefault.jpg"/>
        <s v="https://i.ytimg.com/vi/gypy5ofHU2A/hqdefault.jpg"/>
        <s v="https://i.ytimg.com/vi/ksv1_Otcp6w/hqdefault.jpg"/>
        <s v="https://i.ytimg.com/vi/Za2O6B4mIik/hqdefault.jpg"/>
        <s v="https://i.ytimg.com/vi/Z3ExCCG7SU0/hqdefault.jpg"/>
        <s v="https://i.ytimg.com/vi/GKy4FwdXGCU/hqdefault.jpg"/>
        <s v="https://i.ytimg.com/vi/3Cr54ye0FZ0/hqdefault.jpg"/>
        <s v="https://i.ytimg.com/vi/wjQMnMBsEgI/hqdefault.jpg"/>
        <s v="https://i.ytimg.com/vi/UN1FNFq_R5c/hqdefault.jpg"/>
        <s v="https://i.ytimg.com/vi/PnXT0BCUF4M/hqdefault.jpg"/>
        <s v="https://i.ytimg.com/vi/GdE5gY6nt9E/hqdefault.jpg"/>
        <s v="https://i.ytimg.com/vi/0pF6so9kgog/hqdefault.jpg"/>
        <s v="https://i.ytimg.com/vi/675_QDc5eUw/hqdefault.jpg"/>
        <s v="https://i.ytimg.com/vi/Zk6L_D2cMO8/hqdefault.jpg"/>
        <s v="https://i.ytimg.com/vi/CYuVrI_LLB4/hqdefault.jpg"/>
        <s v="https://i.ytimg.com/vi/W9xDft3OqCE/hqdefault.jpg"/>
        <s v="https://i.ytimg.com/vi/pF42AWtabFI/hqdefault.jpg"/>
        <s v="https://i.ytimg.com/vi/swDyLizs2jA/hqdefault.jpg"/>
        <s v="https://i.ytimg.com/vi/nVLUy28FFa4/hqdefault.jpg"/>
        <s v="https://i.ytimg.com/vi/o4NbCAR5yHE/hqdefault.jpg"/>
        <s v="https://i.ytimg.com/vi/HWJV5TiGxB4/hqdefault.jpg"/>
        <s v="https://i.ytimg.com/vi/Mi2DWlR-rP0/hqdefault.jpg"/>
        <s v="https://i.ytimg.com/vi/hIZXQaumC7Y/hqdefault.jpg"/>
        <s v="https://i.ytimg.com/vi/hCdUIzh9ymM/hqdefault.jpg"/>
        <s v="https://i.ytimg.com/vi/28FwoKVKxI0/hqdefault.jpg"/>
        <s v="https://i.ytimg.com/vi/yrmJE08FPoc/hqdefault.jpg"/>
        <s v="https://i.ytimg.com/vi/2j-kB2H37yM/hqdefault.jpg"/>
        <s v="https://i.ytimg.com/vi/wP8_LAkDy24/hqdefault.jpg"/>
        <s v="https://i.ytimg.com/vi/IlHrXTwR1Bw/hqdefault.jpg"/>
        <s v="https://i.ytimg.com/vi/PiLQA38vPX8/hqdefault.jpg"/>
        <s v="https://i.ytimg.com/vi/xKlik1dnVGg/hqdefault.jpg"/>
        <s v="https://i.ytimg.com/vi/kxqJ4Jl96aw/hqdefault.jpg"/>
        <s v="https://i.ytimg.com/vi/XB4WdG3U06o/hqdefault.jpg"/>
        <s v="https://i.ytimg.com/vi/tBBWBWaNoqk/hqdefault.jpg"/>
        <s v="https://i.ytimg.com/vi/ArzvzkUEyU8/hqdefault.jpg"/>
        <s v="https://i.ytimg.com/vi/IZ4ytcFBCKg/hqdefault.jpg"/>
        <s v="https://i.ytimg.com/vi/W6s6kqIDZ1c/hqdefault.jpg"/>
        <s v="https://i.ytimg.com/vi/fdYFru-2Znk/hqdefault.jpg"/>
        <s v="https://i.ytimg.com/vi/RYRdDXa6TTw/hqdefault.jpg"/>
        <s v="https://i.ytimg.com/vi/6Zk2OiIpZxI/hqdefault.jpg"/>
        <s v="https://i.ytimg.com/vi/QpPZvExtk7E/hqdefault.jpg"/>
        <s v="https://i.ytimg.com/vi/JlpI_Nz9WWo/hqdefault.jpg"/>
        <s v="https://i.ytimg.com/vi/L0Pl2m_1phM/hqdefault.jpg"/>
        <s v="https://i.ytimg.com/vi/qLgfySlqtYA/hqdefault.jpg"/>
        <s v="https://i.ytimg.com/vi/vKapxhZCRUk/hqdefault.jpg"/>
        <s v="https://i.ytimg.com/vi/GUFFJRmtw5M/hqdefault.jpg"/>
        <s v="https://i.ytimg.com/vi/wPqEeSSf57s/hqdefault.jpg"/>
        <s v="https://i.ytimg.com/vi/t4HZodqK7_g/hqdefault.jpg"/>
        <s v="https://i.ytimg.com/vi/3Z1aruvDe9g/hqdefault.jpg"/>
        <s v="https://i.ytimg.com/vi/waDV4lb1qlY/hqdefault.jpg"/>
        <s v="https://i.ytimg.com/vi/mNuEHJNcHC8/hqdefault.jpg"/>
        <s v="https://i.ytimg.com/vi/THvnWpOZE8Q/hqdefault.jpg"/>
        <s v="https://i.ytimg.com/vi/cqVp4vbPR7Y/hqdefault.jpg"/>
        <s v="https://i.ytimg.com/vi/XmRHFN1MbmU/hqdefault.jpg"/>
        <s v="https://i.ytimg.com/vi/yE7JmUaTzH8/hqdefault.jpg"/>
        <s v="https://i.ytimg.com/vi/etENnpC9Bm0/hqdefault.jpg"/>
        <s v="https://i.ytimg.com/vi/bTDgYEnilto/hqdefault.jpg"/>
        <s v="https://i.ytimg.com/vi/TEH7wh0VyrU/hqdefault.jpg"/>
        <s v="https://i.ytimg.com/vi/s6ZmGksZoEI/hqdefault.jpg"/>
        <s v="https://i.ytimg.com/vi/7UtOQeACGQ0/hqdefault.jpg"/>
        <s v="https://i.ytimg.com/vi/pFU7YBz9kVw/hqdefault.jpg"/>
        <s v="https://i.ytimg.com/vi/ZlDUqiSyozU/hqdefault.jpg"/>
        <s v="https://i.ytimg.com/vi/CVL_pYrkRpg/hqdefault.jpg"/>
        <s v="https://i.ytimg.com/vi/D8XBAo6YjKs/hqdefault.jpg"/>
        <s v="https://i.ytimg.com/vi/8l9DaiofDlA/hqdefault.jpg"/>
        <s v="https://i.ytimg.com/vi/u9RIpN9ggvw/hqdefault.jpg"/>
        <s v="https://i.ytimg.com/vi/cNX1uBhBTrY/hqdefault.jpg"/>
        <s v="https://i.ytimg.com/vi/YMrp5PFVvCQ/hqdefault.jpg"/>
        <s v="https://i.ytimg.com/vi/SO1PEL52H2k/hqdefault.jpg"/>
        <s v="https://i.ytimg.com/vi/-DGQrvMgyIo/hqdefault.jpg"/>
        <s v="https://i.ytimg.com/vi/82xNJb5LPhg/hqdefault.jpg"/>
        <s v="https://i.ytimg.com/vi/P-3fNHODjMU/hqdefault.jpg"/>
        <s v="https://i.ytimg.com/vi/H0OYZ7UZ6R4/hqdefault.jpg"/>
        <s v="https://i.ytimg.com/vi/Fi_-l3FHl9A/hqdefault.jpg"/>
        <s v="https://i.ytimg.com/vi/SCSVOHuHPU4/hqdefault.jpg"/>
        <s v="https://i.ytimg.com/vi/cUH9Gl1eCBY/hqdefault.jpg"/>
        <s v="https://i.ytimg.com/vi/w0MHBnIGTUQ/hqdefault.jpg"/>
        <s v="https://i.ytimg.com/vi/MFEcaXFSa6I/hqdefault.jpg"/>
        <s v="https://i.ytimg.com/vi/hvkclBKE4c0/hqdefault.jpg"/>
        <s v="https://i.ytimg.com/vi/XtakSVxEbPc/hqdefault.jpg"/>
        <s v="https://i.ytimg.com/vi/WUsMUmE-j1E/hqdefault.jpg"/>
        <s v="https://i.ytimg.com/vi/6Cj8Ufssgnw/hqdefault.jpg"/>
        <s v="https://i.ytimg.com/vi/IrjyPi8P-Ao/hqdefault.jpg"/>
        <s v="https://i.ytimg.com/vi/2KtDhrDNFjs/hqdefault.jpg"/>
        <s v="https://i.ytimg.com/vi/reujbgenfMo/hqdefault.jpg"/>
        <s v="https://i.ytimg.com/vi/eRi6sTfpBHg/hqdefault.jpg"/>
        <s v="https://i.ytimg.com/vi/t5lwfJB-s8g/hqdefault.jpg"/>
        <s v="https://i.ytimg.com/vi/5GNLY5Y2Td0/hqdefault.jpg"/>
        <s v="https://i.ytimg.com/vi/YaBrxDlp3SE/hqdefault.jpg"/>
        <s v="https://i.ytimg.com/vi/LbS31EAzghQ/hqdefault.jpg"/>
        <s v="https://i.ytimg.com/vi/2BK_s5PWdjU/hqdefault.jpg"/>
        <s v="https://i.ytimg.com/vi/FWw4EmW0dWw/hqdefault.jpg"/>
        <s v="https://i.ytimg.com/vi/tIdjgt-2IGw/hqdefault.jpg"/>
        <s v="https://i.ytimg.com/vi/hVS6C_q00j8/hqdefault.jpg"/>
        <s v="https://i.ytimg.com/vi/ofjnnEyDJF8/hqdefault.jpg"/>
        <s v="https://i.ytimg.com/vi/hBtLBd9ZHvU/hqdefault.jpg"/>
        <s v="https://i.ytimg.com/vi/6OgdWgWl2YQ/hqdefault.jpg"/>
        <s v="https://i.ytimg.com/vi/ZV5p1TELQ04/hqdefault.jpg"/>
        <s v="https://i.ytimg.com/vi/zS77gtbE8lI/hqdefault.jpg"/>
        <s v="https://i.ytimg.com/vi/rzbGrEzL_nQ/hqdefault.jpg"/>
        <s v="https://i.ytimg.com/vi/wmrqw8gVvCA/hqdefault.jpg"/>
        <s v="https://i.ytimg.com/vi/dv8IJsq0TN0/hqdefault.jpg"/>
        <s v="https://i.ytimg.com/vi/pDAPViwyp5o/hqdefault.jpg"/>
        <s v="https://i.ytimg.com/vi/auJ6R8bVK_U/hqdefault.jpg"/>
        <s v="https://i.ytimg.com/vi/rqZOmC0jlkQ/hqdefault.jpg"/>
        <s v="https://i.ytimg.com/vi/__rK6F1JeUU/hqdefault.jpg"/>
        <s v="https://i.ytimg.com/vi/19MGlD6T7LU/hqdefault.jpg"/>
        <s v="https://i.ytimg.com/vi/nDPNsasP58s/hqdefault.jpg"/>
        <s v="https://i.ytimg.com/vi/d1tHmwJ5uC4/hqdefault.jpg"/>
        <s v="https://i.ytimg.com/vi/tiEBiFZxKsk/hqdefault.jpg"/>
        <s v="https://i.ytimg.com/vi/FsiBlZ8yIQY/hqdefault.jpg"/>
        <s v="https://i.ytimg.com/vi/XPODRrrALSc/hqdefault.jpg"/>
        <s v="https://i.ytimg.com/vi/yKejpjUAk5E/hqdefault.jpg"/>
        <s v="https://i.ytimg.com/vi/8XtD1RpcKZU/hqdefault.jpg"/>
        <s v="https://i.ytimg.com/vi/tINHTSdwmVI/hqdefault.jpg"/>
        <s v="https://i.ytimg.com/vi/ijK9CXJlKDw/hqdefault.jpg"/>
        <s v="https://i.ytimg.com/vi/SQD4sKy_5ec/hqdefault.jpg"/>
        <s v="https://i.ytimg.com/vi/GFJNR1gTGLY/hqdefault.jpg"/>
        <s v="https://i.ytimg.com/vi/N7zakQpR0UQ/hqdefault.jpg"/>
        <s v="https://i.ytimg.com/vi/7Qbu1cHmLQs/hqdefault.jpg"/>
        <s v="https://i.ytimg.com/vi/uz911tvV8pQ/hqdefault.jpg"/>
        <s v="https://i.ytimg.com/vi/DpSfQju9zVg/hqdefault.jpg"/>
        <s v="https://i.ytimg.com/vi/Fjx33KpZ7YE/hqdefault.jpg"/>
        <s v="https://i.ytimg.com/vi/zh5GCvNZzHU/hqdefault.jpg"/>
        <s v="https://i.ytimg.com/vi/JULxOF9qL9c/hqdefault.jpg"/>
        <s v="https://i.ytimg.com/vi/PF0rVD94h14/hqdefault.jpg"/>
        <s v="https://i.ytimg.com/vi/f2VpAA-5dkg/hqdefault.jpg"/>
        <s v="https://i.ytimg.com/vi/jnewsLAAEqs/hqdefault.jpg"/>
        <s v="https://i.ytimg.com/vi/ZJLHTSbyOqM/hqdefault.jpg"/>
        <s v="https://i.ytimg.com/vi/3dGaNNjmd8g/hqdefault.jpg"/>
        <s v="https://i.ytimg.com/vi/_-HKyyBt9VQ/hqdefault.jpg"/>
        <s v="https://i.ytimg.com/vi/qwAWJGTP55k/hqdefault.jpg"/>
        <s v="https://i.ytimg.com/vi/YJJAt8p-f34/hqdefault.jpg"/>
        <s v="https://i.ytimg.com/vi/tMkFFa-lbRY/hqdefault.jpg"/>
        <s v="https://i.ytimg.com/vi/flVD-o7l_2U/hqdefault.jpg"/>
        <s v="https://i.ytimg.com/vi/ianHLwZE2cw/hqdefault.jpg"/>
        <s v="https://i.ytimg.com/vi/DeUtKzP97Ig/hqdefault.jpg"/>
        <s v="https://i.ytimg.com/vi/8i9-kmQKkLE/hqdefault.jpg"/>
        <s v="https://i.ytimg.com/vi/7Pft3aY1YA0/hqdefault.jpg"/>
        <s v="https://i.ytimg.com/vi/tE7aoKmmJQk/hqdefault.jpg"/>
        <s v="https://i.ytimg.com/vi/fKwaV10Nw-s/hqdefault.jpg"/>
        <s v="https://i.ytimg.com/vi/TS7vqxYderc/hqdefault.jpg"/>
        <s v="https://i.ytimg.com/vi/8-kYueD8SG0/hqdefault.jpg"/>
        <s v="https://i.ytimg.com/vi/p_TMtU7uIaY/hqdefault.jpg"/>
        <s v="https://i.ytimg.com/vi/-dHGy1omgO0/hqdefault.jpg"/>
        <s v="https://i.ytimg.com/vi/SdQPksbHyw4/hqdefault.jpg"/>
        <s v="https://i.ytimg.com/vi/QdHr34Ko_4M/hqdefault.jpg"/>
        <s v="https://i.ytimg.com/vi/vlw4oSNUI1k/hqdefault.jpg"/>
        <s v="https://i.ytimg.com/vi/Inq0I5n3gBU/hqdefault.jpg"/>
        <s v="https://i.ytimg.com/vi/bVrj5udmgwo/hqdefault.jpg"/>
        <s v="https://i.ytimg.com/vi/FwQztWw0VLU/hqdefault.jpg"/>
        <s v="https://i.ytimg.com/vi/j5VMhBaYXqM/hqdefault.jpg"/>
        <s v="https://i.ytimg.com/vi/Cn7TCKLsl24/hqdefault.jpg"/>
        <s v="https://i.ytimg.com/vi/D1fbTn3ZlEo/hqdefault.jpg"/>
        <s v="https://i.ytimg.com/vi/VNdfwuA9BSw/hqdefault.jpg"/>
        <s v="https://i.ytimg.com/vi/7-SZRxh5Ikw/hqdefault.jpg"/>
        <s v="https://i.ytimg.com/vi/JWVJ1J7-MVU/hqdefault.jpg"/>
        <s v="https://i.ytimg.com/vi/TjVMelbJ0-M/hqdefault.jpg"/>
        <s v="https://i.ytimg.com/vi/nHtZng3AGl4/hqdefault.jpg"/>
        <s v="https://i.ytimg.com/vi/tQKqIeTnTn8/hqdefault.jpg"/>
        <s v="https://i.ytimg.com/vi/8V-F8s4knMY/hqdefault.jpg"/>
        <s v="https://i.ytimg.com/vi/3t6tisQ3Yrk/hqdefault.jpg"/>
        <s v="https://i.ytimg.com/vi/geSZf8qVcLM/hqdefault.jpg"/>
        <s v="https://i.ytimg.com/vi/FQgc8SBQJns/hqdefault.jpg"/>
        <s v="https://i.ytimg.com/vi/8tzM8lrmN9o/hqdefault.jpg"/>
        <s v="https://i.ytimg.com/vi/Y5kduUrtFK0/hqdefault.jpg"/>
        <s v="https://i.ytimg.com/vi/lXC0dbmEaW8/hqdefault.jpg"/>
        <s v="https://i.ytimg.com/vi/5-QB5Fg9f8I/hqdefault.jpg"/>
        <s v="https://i.ytimg.com/vi/bm09ZP-LY20/hqdefault.jpg"/>
        <s v="https://i.ytimg.com/vi/A0fvgwxNh2Y/hqdefault.jpg"/>
        <s v="https://i.ytimg.com/vi/y7Jg6vLkNSU/hqdefault.jpg"/>
        <s v="https://i.ytimg.com/vi/-mHuZaU9dg4/hqdefault.jpg"/>
        <s v="https://i.ytimg.com/vi/jpSuL17ZTnM/hqdefault.jpg"/>
        <s v="https://i.ytimg.com/vi/OhcSjEYeNxA/hqdefault.jpg"/>
        <s v="https://i.ytimg.com/vi/UEcMz14481k/hqdefault.jpg"/>
        <s v="https://i.ytimg.com/vi/SO_zYcHECYQ/hqdefault.jpg"/>
        <s v="https://i.ytimg.com/vi/vPTt6z0Muqk/hqdefault.jpg"/>
        <s v="https://i.ytimg.com/vi/yVlFF0ckVXY/hqdefault.jpg"/>
        <s v="https://i.ytimg.com/vi/Hi2jc2iH0fA/hqdefault.jpg"/>
        <s v="https://i.ytimg.com/vi/XEXadVFPK3k/hqdefault.jpg"/>
        <s v="https://i.ytimg.com/vi/jGcJRbB-7gg/hqdefault.jpg"/>
        <s v="https://i.ytimg.com/vi/mtud6N89uSs/hqdefault.jpg"/>
        <s v="https://i.ytimg.com/vi/Mz-EbcUN3N0/hqdefault.jpg"/>
        <s v="https://i.ytimg.com/vi/L077kJVZI5w/hqdefault.jpg"/>
        <s v="https://i.ytimg.com/vi/vyQMvszU-7M/hqdefault.jpg"/>
        <s v="https://i.ytimg.com/vi/AZqudV39rMw/hqdefault.jpg"/>
        <s v="https://i.ytimg.com/vi/U-SPGk4KIPE/hqdefault.jpg"/>
        <s v="https://i.ytimg.com/vi/s0imnGs3JrQ/hqdefault.jpg"/>
        <s v="https://i.ytimg.com/vi/z9OO2y0bUD8/hqdefault.jpg"/>
        <s v="https://i.ytimg.com/vi/5SMxHDj9Ux4/hqdefault.jpg"/>
        <s v="https://i.ytimg.com/vi/RiXl8SHrXaU/hqdefault.jpg"/>
        <s v="https://i.ytimg.com/vi/Q1mr-SsjcJ8/hqdefault.jpg"/>
        <s v="https://i.ytimg.com/vi/AmS6Kr-4G48/hqdefault.jpg"/>
        <s v="https://i.ytimg.com/vi/1LVv3uj3hPo/hqdefault.jpg"/>
        <s v="https://i.ytimg.com/vi/GN2n73TtNtw/hqdefault.jpg"/>
        <s v="https://i.ytimg.com/vi/mTOv_miz0UU/hqdefault.jpg"/>
        <s v="https://i.ytimg.com/vi/v0jNDYjOrs4/hqdefault.jpg"/>
        <s v="https://i.ytimg.com/vi/1tZ2dzWjFxI/hqdefault.jpg"/>
        <s v="https://i.ytimg.com/vi/eeuetQa67Os/hqdefault.jpg"/>
        <s v="https://i.ytimg.com/vi/4Fqq_N_0woM/hqdefault.jpg"/>
        <s v="https://i.ytimg.com/vi/SPHhPDR-Xl4/hqdefault.jpg"/>
        <s v="https://i.ytimg.com/vi/iAO45RNkVgw/hqdefault.jpg"/>
        <s v="https://i.ytimg.com/vi/Te33kVOpg78/hqdefault.jpg"/>
        <s v="https://i.ytimg.com/vi/MtIJZTFrmf8/hqdefault.jpg"/>
        <s v="https://i.ytimg.com/vi/AlFXQvlzLUg/hqdefault.jpg"/>
        <s v="https://i.ytimg.com/vi/B5lZ-B05f88/hqdefault.jpg"/>
        <s v="https://i.ytimg.com/vi/YClI9XqJALg/hqdefault.jpg"/>
        <s v="https://i.ytimg.com/vi/W58JXVDqeEU/hqdefault.jpg"/>
        <s v="https://i.ytimg.com/vi/5kUY3rmGSzc/hqdefault.jpg"/>
        <s v="https://i.ytimg.com/vi/cps7sgxZc6c/hqdefault.jpg"/>
        <s v="https://i.ytimg.com/vi/f0jOosRhu_c/hqdefault.jpg"/>
        <s v="https://i.ytimg.com/vi/Oy35fu4qdPI/hqdefault.jpg"/>
        <s v="https://i.ytimg.com/vi/0gNgYpnOLes/hqdefault.jpg"/>
        <s v="https://i.ytimg.com/vi/KO2pX_J1-Ww/hqdefault.jpg"/>
        <s v="https://i.ytimg.com/vi/AFf0wjiREkw/hqdefault.jpg"/>
        <s v="https://i.ytimg.com/vi/nzmOmkFYHDA/hqdefault.jpg"/>
        <s v="https://i.ytimg.com/vi/VnDyf9Syuk4/hqdefault.jpg"/>
        <s v="https://i.ytimg.com/vi/jPEUiAFpD9c/hqdefault.jpg"/>
        <s v="https://i.ytimg.com/vi/SuuSKsDd2I8/hqdefault.jpg"/>
        <s v="https://i.ytimg.com/vi/gqRxK4BcMKE/hqdefault.jpg"/>
        <s v="https://i.ytimg.com/vi/dztBf1qcb_k/hqdefault.jpg"/>
        <s v="https://i.ytimg.com/vi/cNltvnJJsGU/hqdefault.jpg"/>
        <s v="https://i.ytimg.com/vi/2bNPu_RtBuw/hqdefault.jpg"/>
        <s v="https://i.ytimg.com/vi/rdVa_j_sy0w/hqdefault.jpg"/>
        <s v="https://i.ytimg.com/vi/gOiXpNly2hM/hqdefault.jpg"/>
        <s v="https://i.ytimg.com/vi/58iVdN4MDzI/hqdefault.jpg"/>
        <s v="https://i.ytimg.com/vi/wA1MoHlPUYw/hqdefault.jpg"/>
        <s v="https://i.ytimg.com/vi/O2lpLScD2wM/hqdefault.jpg"/>
        <s v="https://i.ytimg.com/vi/Zyurx6vIBtw/hqdefault.jpg"/>
        <s v="https://i.ytimg.com/vi/WdnARgSgQQ0/hqdefault.jpg"/>
        <s v="https://i.ytimg.com/vi/N2X30cyhuTk/hqdefault.jpg"/>
        <s v="https://i.ytimg.com/vi/rxPqkkBZlLU/hqdefault.jpg"/>
        <s v="https://i.ytimg.com/vi/in3PiToXwXE/hqdefault.jpg"/>
        <s v="https://i.ytimg.com/vi/oEXdC9w_cjs/hqdefault.jpg"/>
        <s v="https://i.ytimg.com/vi/7dC-Xox0YFA/hqdefault.jpg"/>
        <s v="https://i.ytimg.com/vi/nUcwCRPJkV4/hqdefault.jpg"/>
        <s v="https://i.ytimg.com/vi/LA4xnaK61uI/hqdefault.jpg"/>
        <s v="https://i.ytimg.com/vi/stG7z7GTzSA/hqdefault.jpg"/>
        <s v="https://i.ytimg.com/vi/XxLz44wV9Yw/hqdefault.jpg"/>
        <s v="https://i.ytimg.com/vi/ygsbwUkOdQg/hqdefault.jpg"/>
        <s v="https://i.ytimg.com/vi/FoMlYlm-USw/hqdefault.jpg"/>
        <s v="https://i.ytimg.com/vi/ujrr26n9FDg/hqdefault.jpg"/>
        <s v="https://i.ytimg.com/vi/PN27werEovw/hqdefault.jpg"/>
        <s v="https://i.ytimg.com/vi/JLzdny1s7XE/hqdefault.jpg"/>
        <s v="https://i.ytimg.com/vi/3Hkix-B7xGk/hqdefault.jpg"/>
        <s v="https://i.ytimg.com/vi/s1_HpGc-NiU/hqdefault.jpg"/>
        <s v="https://i.ytimg.com/vi/oe69m-RhiMU/hqdefault.jpg"/>
        <s v="https://i.ytimg.com/vi/1uVvagZEA0c/hqdefault.jpg"/>
        <s v="https://i.ytimg.com/vi/wQu1VIo2Ia4/hqdefault.jpg"/>
        <s v="https://i.ytimg.com/vi/IXbxQj9I5HI/hqdefault.jpg"/>
        <s v="https://i.ytimg.com/vi/7fgqVN2I_jE/hqdefault.jpg"/>
        <s v="https://i.ytimg.com/vi/jNof-YwpVeI/hqdefault.jpg"/>
        <s v="https://i.ytimg.com/vi/9Z7BNW3159s/hqdefault.jpg"/>
        <s v="https://i.ytimg.com/vi/29y1cRiluRo/hqdefault.jpg"/>
        <s v="https://i.ytimg.com/vi/FN3Yhlvzdf8/hqdefault.jpg"/>
        <s v="https://i.ytimg.com/vi/JKT4LEKoVBg/hqdefault.jpg"/>
        <s v="https://i.ytimg.com/vi/vvUBFxQUa1U/hqdefault.jpg"/>
        <s v="https://i.ytimg.com/vi/JOiXKbmxRrs/hqdefault.jpg"/>
        <s v="https://i.ytimg.com/vi/SPqLuRZNsRM/hqdefault.jpg"/>
        <s v="https://i.ytimg.com/vi/aO46QhB8B0Q/hqdefault.jpg"/>
        <s v="https://i.ytimg.com/vi/k2sqB5RdxqY/hqdefault.jpg"/>
        <s v="https://i.ytimg.com/vi/bx9KPgj4WiU/hqdefault.jpg"/>
        <s v="https://i.ytimg.com/vi/vUNn2xrNc4s/hqdefault.jpg"/>
        <s v="https://i.ytimg.com/vi/1-bvRKeuU8g/hqdefault.jpg"/>
        <s v="https://i.ytimg.com/vi/a2GbC2uOMF4/hqdefault.jpg"/>
        <s v="https://i.ytimg.com/vi/JkQ7PR7_RF8/hqdefault.jpg"/>
        <s v="https://i.ytimg.com/vi/THVHPVcmzsg/hqdefault.jpg"/>
        <s v="https://i.ytimg.com/vi/5hrWZFbhm3o/hqdefault.jpg"/>
        <s v="https://i.ytimg.com/vi/I16k08qxGyc/hqdefault.jpg"/>
        <s v="https://i.ytimg.com/vi/opwt6R66OIo/hqdefault.jpg"/>
        <s v="https://i.ytimg.com/vi/n6esU5tIYiA/hqdefault.jpg"/>
        <s v="https://i.ytimg.com/vi/d10c1QDT5Zk/hqdefault.jpg"/>
        <s v="https://i.ytimg.com/vi/biOiFpvQikQ/hqdefault.jpg"/>
        <s v="https://i.ytimg.com/vi/lHrg-_DGeto/hqdefault.jpg"/>
        <s v="https://i.ytimg.com/vi/hdgjl62kSlY/hqdefault.jpg"/>
        <s v="https://i.ytimg.com/vi/S7-FwV8U56c/hqdefault.jpg"/>
        <s v="https://i.ytimg.com/vi/B2xQTC4ff8A/hqdefault.jpg"/>
        <s v="https://i.ytimg.com/vi/rVjGVQMBhOI/hqdefault.jpg"/>
        <s v="https://i.ytimg.com/vi/kQ_uzTWCxTY/hqdefault.jpg"/>
        <s v="https://i.ytimg.com/vi/mewITWCEuYQ/hqdefault.jpg"/>
        <s v="https://i.ytimg.com/vi/eo20sN2JZSo/hqdefault.jpg"/>
        <s v="https://i.ytimg.com/vi/pd85tVv7ynk/hqdefault.jpg"/>
        <s v="https://i.ytimg.com/vi/p8mcyRMpdQo/hqdefault.jpg"/>
        <s v="https://i.ytimg.com/vi/I4yOlWK8yk0/hqdefault.jpg"/>
        <s v="https://i.ytimg.com/vi/RJC-j3H6REU/hqdefault.jpg"/>
        <s v="https://i.ytimg.com/vi/mRFEMktL-vQ/hqdefault.jpg"/>
        <s v="https://i.ytimg.com/vi/xfuZj9U-dAY/hqdefault.jpg"/>
        <s v="https://i.ytimg.com/vi/OrF2mFRNveU/hqdefault.jpg"/>
        <s v="https://i.ytimg.com/vi/aYXqCTxU2oY/hqdefault.jpg"/>
        <s v="https://i.ytimg.com/vi/y5qtUugsyxI/hqdefault.jpg"/>
        <s v="https://i.ytimg.com/vi/cbHvaHFPXyo/hqdefault.jpg"/>
        <s v="https://i.ytimg.com/vi/I5w8FTdNZ6c/hqdefault.jpg"/>
        <s v="https://i.ytimg.com/vi/Oulve6K3u7o/hqdefault.jpg"/>
        <s v="https://i.ytimg.com/vi/1bLRgdUdQXc/hqdefault.jpg"/>
        <s v="https://i.ytimg.com/vi/CzxoI3fIKac/hqdefault.jpg"/>
        <s v="https://i.ytimg.com/vi/GinwzELoWqU/hqdefault.jpg"/>
        <s v="https://i.ytimg.com/vi/db7QvHtM_WY/hqdefault.jpg"/>
        <s v="https://i.ytimg.com/vi/XRtXHACXcyM/hqdefault.jpg"/>
        <s v="https://i.ytimg.com/vi/LDqGf_NUrTQ/hqdefault.jpg"/>
        <s v="https://i.ytimg.com/vi/JZo5ZtRMAU8/hqdefault.jpg"/>
        <s v="https://i.ytimg.com/vi/CPsvv2c8n7Q/hqdefault.jpg"/>
        <s v="https://i.ytimg.com/vi/k6ARCeU5nw8/hqdefault.jpg"/>
        <s v="https://i.ytimg.com/vi/H6wAU3TovQg/hqdefault.jpg"/>
        <s v="https://i.ytimg.com/vi/6T04APrcMuo/hqdefault.jpg"/>
        <s v="https://i.ytimg.com/vi/bFmOurzbBqY/hqdefault.jpg"/>
        <s v="https://i.ytimg.com/vi/dsn8qOlTqMs/hqdefault.jpg"/>
        <s v="https://i.ytimg.com/vi/M2eESffQjbc/hqdefault.jpg"/>
        <s v="https://i.ytimg.com/vi/rIXaco9q1PU/hqdefault.jpg"/>
        <s v="https://i.ytimg.com/vi/w595pAY8kxo/hqdefault.jpg"/>
        <s v="https://i.ytimg.com/vi/aaPfqdQCsXM/hqdefault.jpg"/>
        <s v="https://i.ytimg.com/vi/Iw7iCnsTiJA/hqdefault.jpg"/>
        <s v="https://i.ytimg.com/vi/t9-yU98geXI/hqdefault.jpg"/>
        <s v="https://i.ytimg.com/vi/Lhbepmpfyt4/hqdefault.jpg"/>
        <s v="https://i.ytimg.com/vi/fJJgKUw0CZc/hqdefault.jpg"/>
        <s v="https://i.ytimg.com/vi/ByJ5cfSqWww/hqdefault.jpg"/>
        <s v="https://i.ytimg.com/vi/0hT7FDjP_Sw/hqdefault.jpg"/>
        <s v="https://i.ytimg.com/vi/veO9LT5eDXI/hqdefault.jpg"/>
        <s v="https://i.ytimg.com/vi/7dZcbglSEN8/hqdefault.jpg"/>
        <s v="https://i.ytimg.com/vi/UaQdmqK7SG4/hqdefault.jpg"/>
        <s v="https://i.ytimg.com/vi/QMm4cQS9DcQ/hqdefault.jpg"/>
        <s v="https://i.ytimg.com/vi/dWi6WCx2moc/hqdefault.jpg"/>
        <s v="https://i.ytimg.com/vi/ChXClEkaL2U/hqdefault.jpg"/>
        <s v="https://i.ytimg.com/vi/9Su8zKCCKDM/hqdefault.jpg"/>
        <s v="https://i.ytimg.com/vi/BxgmoqKcFWM/hqdefault.jpg"/>
        <s v="https://i.ytimg.com/vi/9pzwxxs8IQc/hqdefault.jpg"/>
        <s v="https://i.ytimg.com/vi/BRzUwtmWS4w/hqdefault.jpg"/>
        <s v="https://i.ytimg.com/vi/UWC0PW7vEAg/hqdefault.jpg"/>
        <s v="https://i.ytimg.com/vi/v6sxePWDhR4/hqdefault.jpg"/>
        <s v="https://i.ytimg.com/vi/dW78olRrreQ/hqdefault.jpg"/>
        <s v="https://i.ytimg.com/vi/FzGFKPv_56M/hqdefault.jpg"/>
        <s v="https://i.ytimg.com/vi/yAsO_jBfplI/hqdefault.jpg"/>
        <s v="https://i.ytimg.com/vi/DhVvodHNVUE/hqdefault.jpg"/>
        <s v="https://i.ytimg.com/vi/3OzpptG23UU/hqdefault.jpg"/>
        <s v="https://i.ytimg.com/vi/tIXbZj3YwKM/hqdefault.jpg"/>
        <s v="https://i.ytimg.com/vi/P66EsXw8xiY/hqdefault.jpg"/>
        <s v="https://i.ytimg.com/vi/g2QDMqKORhA/hqdefault.jpg"/>
        <s v="https://i.ytimg.com/vi/4iBNHKGd4mU/hqdefault.jpg"/>
        <s v="https://i.ytimg.com/vi/tvZ4y1W-HNc/hqdefault.jpg"/>
        <s v="https://i.ytimg.com/vi/iDQUjJWJWYc/hqdefault.jpg"/>
        <s v="https://i.ytimg.com/vi/e5PdHZyaAyQ/hqdefault.jpg"/>
        <s v="https://i.ytimg.com/vi/TV2wu1kJjq8/hqdefault.jpg"/>
        <s v="https://i.ytimg.com/vi/WgqMCd93X0k/hqdefault.jpg"/>
        <s v="https://i.ytimg.com/vi/Ytevg-kl2-Y/hqdefault.jpg"/>
        <s v="https://i.ytimg.com/vi/-yUjnkxu_UU/hqdefault.jpg"/>
        <s v="https://i.ytimg.com/vi/_5HE5ZQq_OM/hqdefault.jpg"/>
        <s v="https://i.ytimg.com/vi/BWCDwBbsvtk/hqdefault.jpg"/>
        <s v="https://i.ytimg.com/vi/L5u-aiaESuA/hqdefault.jpg"/>
        <s v="https://i.ytimg.com/vi/sWYnEk4tDXI/hqdefault.jpg"/>
        <s v="https://i.ytimg.com/vi/bMc34ZA8Cs4/hqdefault.jpg"/>
        <s v="https://i.ytimg.com/vi/w-3fKE1taf0/hqdefault.jpg"/>
        <s v="https://i.ytimg.com/vi/4R0fzyDVdLk/hqdefault.jpg"/>
        <s v="https://i.ytimg.com/vi/ggDetYPpjEo/hqdefault.jpg"/>
        <s v="https://i.ytimg.com/vi/zpLvii6WPxo/hqdefault.jpg"/>
        <s v="https://i.ytimg.com/vi/Xssm5v6UP-8/hqdefault.jpg"/>
        <s v="https://i.ytimg.com/vi/7g-FbW-O4Ck/hqdefault.jpg"/>
        <s v="https://i.ytimg.com/vi/hRjMG3fGbB4/hqdefault.jpg"/>
        <s v="https://i.ytimg.com/vi/6tRfahNGXjk/hqdefault.jpg"/>
        <s v="https://i.ytimg.com/vi/YWL9boCbFRM/hqdefault.jpg"/>
        <s v="https://i.ytimg.com/vi/zjHR1CqUi4g/hqdefault.jpg"/>
        <s v="https://i.ytimg.com/vi/7-nmaP8cZR4/hqdefault.jpg"/>
        <s v="https://i.ytimg.com/vi/z-OveH_zgeA/hqdefault.jpg"/>
        <s v="https://i.ytimg.com/vi/r01O9GIX89w/hqdefault.jpg"/>
        <s v="https://i.ytimg.com/vi/8VyLVpXETec/hqdefault.jpg"/>
        <s v="https://i.ytimg.com/vi/tQZg9l3efBY/hqdefault.jpg"/>
        <s v="https://i.ytimg.com/vi/z4ELHllsiAE/hqdefault.jpg"/>
        <s v="https://i.ytimg.com/vi/NLeV745YkHc/hqdefault.jpg"/>
        <s v="https://i.ytimg.com/vi/1aqC5pFhACo/hqdefault.jpg"/>
        <s v="https://i.ytimg.com/vi/wSWgwcAkI-s/hqdefault.jpg"/>
        <s v="https://i.ytimg.com/vi/4OKcemAz8Rg/hqdefault.jpg"/>
        <s v="https://i.ytimg.com/vi/zWwR3uOmg3k/hqdefault.jpg"/>
        <s v="https://i.ytimg.com/vi/QAsgzPBrHao/hqdefault.jpg"/>
        <s v="https://i.ytimg.com/vi/vEs5u4LD0JA/hqdefault.jpg"/>
        <s v="https://i.ytimg.com/vi/D7mfonU3-38/hqdefault.jpg"/>
        <s v="https://i.ytimg.com/vi/MvS2I6pmuJc/hqdefault.jpg"/>
        <s v="https://i.ytimg.com/vi/e3yCI94YOV0/hqdefault.jpg"/>
        <s v="https://i.ytimg.com/vi/YZl-VS6sO7I/hqdefault.jpg"/>
        <s v="https://i.ytimg.com/vi/GplIt6OO47g/hqdefault.jpg"/>
        <s v="https://i.ytimg.com/vi/LAOHRyZQnT8/hqdefault.jpg"/>
        <s v="https://i.ytimg.com/vi/j0230PstIm4/hqdefault.jpg"/>
        <s v="https://i.ytimg.com/vi/skreoWiQStU/hqdefault.jpg"/>
        <s v="https://i.ytimg.com/vi/OEOt03vFZtQ/hqdefault.jpg"/>
        <s v="https://i.ytimg.com/vi/GcRDYHzixfw/hqdefault.jpg"/>
        <s v="https://i.ytimg.com/vi/TCSv0oVeJIM/hqdefault.jpg"/>
        <s v="https://i.ytimg.com/vi/6KgpGfwU0ZQ/hqdefault.jpg"/>
        <s v="https://i.ytimg.com/vi/xX4E5KK92w4/hqdefault.jpg"/>
        <s v="https://i.ytimg.com/vi/7FO5FwzJ5h8/hqdefault.jpg"/>
        <s v="https://i.ytimg.com/vi/IiCLzJuO2bw/hqdefault.jpg"/>
        <s v="https://i.ytimg.com/vi/N2OpYlwvRrg/hqdefault.jpg"/>
        <s v="https://i.ytimg.com/vi/9kIDf5v8cNQ/hqdefault.jpg"/>
        <s v="https://i.ytimg.com/vi/22CirRVmTiU/hqdefault.jpg"/>
        <s v="https://i.ytimg.com/vi/PhzPoVmqHT8/hqdefault.jpg"/>
        <s v="https://i.ytimg.com/vi/0drajMOCVQ4/hqdefault.jpg"/>
        <s v="https://i.ytimg.com/vi/tbwsauXU_4U/hqdefault.jpg"/>
        <s v="https://i.ytimg.com/vi/uuvfCdyJync/hqdefault.jpg"/>
        <s v="https://i.ytimg.com/vi/hFNSsKY0y4A/hqdefault.jpg"/>
        <s v="https://i.ytimg.com/vi/9qIBLvXfTRE/hqdefault.jpg"/>
        <s v="https://i.ytimg.com/vi/MHjmuTWm3WI/hqdefault.jpg"/>
        <s v="https://i.ytimg.com/vi/3yLpC7Qo2JY/hqdefault.jpg"/>
        <s v="https://i.ytimg.com/vi/vKQanMYxvpg/hqdefault.jpg"/>
        <s v="https://i.ytimg.com/vi/kzY3UWU0XxA/hqdefault.jpg"/>
        <s v="https://i.ytimg.com/vi/Zc4J0L6Wpzc/hqdefault.jpg"/>
        <s v="https://i.ytimg.com/vi/dyincT4vq-Q/hqdefault.jpg"/>
        <s v="https://i.ytimg.com/vi/vuCcdU33saY/hqdefault.jpg"/>
        <s v="https://i.ytimg.com/vi/HcDIhco07hY/hqdefault.jpg"/>
        <s v="https://i.ytimg.com/vi/B6HLSq3tZ6A/hqdefault.jpg"/>
        <s v="https://i.ytimg.com/vi/sPaSg6bLP9E/hqdefault.jpg"/>
        <s v="https://i.ytimg.com/vi/l8VDtXDatJA/hqdefault.jpg"/>
        <s v="https://i.ytimg.com/vi/oGOEdNrVCMo/hqdefault.jpg"/>
        <s v="https://i.ytimg.com/vi/bn_gVi1HOmY/hqdefault.jpg"/>
        <s v="https://i.ytimg.com/vi/XzCmYlT_MI8/hqdefault.jpg"/>
        <s v="https://i.ytimg.com/vi/UQrHP_BLgy8/hqdefault.jpg"/>
        <s v="https://i.ytimg.com/vi/BqF9BPeexZY/hqdefault.jpg"/>
        <s v="https://i.ytimg.com/vi/p2vf07qbBig/hqdefault.jpg"/>
        <s v="https://i.ytimg.com/vi/IrAZsq9FsjQ/hqdefault.jpg"/>
        <s v="https://i.ytimg.com/vi/nXO9XhykPmY/hqdefault.jpg"/>
        <s v="https://i.ytimg.com/vi/aIisJQxCj5k/hqdefault.jpg"/>
        <s v="https://i.ytimg.com/vi/13s9Ev8FO9M/hqdefault.jpg"/>
        <s v="https://i.ytimg.com/vi/L8XnIlLGL1E/hqdefault.jpg"/>
        <s v="https://i.ytimg.com/vi/ipQeKYrIshE/hqdefault.jpg"/>
        <s v="https://i.ytimg.com/vi/AeGDnZHBhK8/hqdefault.jpg"/>
        <s v="https://i.ytimg.com/vi/OowOxUtcnRE/hqdefault.jpg"/>
        <s v="https://i.ytimg.com/vi/lyVq3yIfcO8/hqdefault.jpg"/>
        <s v="https://i.ytimg.com/vi/GSf1kulhoIo/hqdefault.jpg"/>
        <s v="https://i.ytimg.com/vi/mrmc1Pgo5s0/hqdefault.jpg"/>
        <s v="https://i.ytimg.com/vi/JiDDPzB8Ays/hqdefault.jpg"/>
        <s v="https://i.ytimg.com/vi/cQwC_cUM5mw/hqdefault.jpg"/>
        <s v="https://i.ytimg.com/vi/sAFpVKDktLI/hqdefault.jpg"/>
        <s v="https://i.ytimg.com/vi/bpTqR06v6vI/hqdefault.jpg"/>
        <s v="https://i.ytimg.com/vi/bnxoV7dIThw/hqdefault.jpg"/>
        <s v="https://i.ytimg.com/vi/b7c13BxH0RI/hqdefault.jpg"/>
        <s v="https://i.ytimg.com/vi/L-Xc3kXNibw/hqdefault.jpg"/>
        <s v="https://i.ytimg.com/vi/L5342QyvBeY/hqdefault.jpg"/>
        <s v="https://i.ytimg.com/vi/Gvt29XV5AAI/hqdefault.jpg"/>
        <s v="https://i.ytimg.com/vi/uB4op8XOCUE/hqdefault.jpg"/>
        <s v="https://i.ytimg.com/vi/JYYpAFD1gN4/hqdefault.jpg"/>
        <s v="https://i.ytimg.com/vi/nuaITRtNMY8/hqdefault.jpg"/>
        <s v="https://i.ytimg.com/vi/G_fUXO5JIiA/hqdefault.jpg"/>
      </sharedItems>
    </cacheField>
    <cacheField name="Engagement Rate %" numFmtId="10">
      <sharedItems containsSemiMixedTypes="0" containsString="0" containsNumber="1">
        <n v="6.475349521707138"/>
        <n v="4.73421926910299"/>
        <n v="4.526748971193416"/>
        <n v="2.9364348226623678"/>
        <n v="3.751584283903676"/>
        <n v="4.636209813874789"/>
        <n v="4.16988416988417"/>
        <n v="3.8525963149078724"/>
        <n v="5.398847437063998"/>
        <n v="5.150918635170604"/>
        <n v="3.930722891566265"/>
        <n v="5.557054221742649"/>
        <n v="2.565782841012199"/>
        <n v="5.127169963665724"/>
        <n v="4.4692737430167595"/>
        <n v="3.844867937144768"/>
        <n v="2.910929056998431"/>
        <n v="4.30622009569378"/>
        <n v="2.7422432680754825"/>
        <n v="2.494061757719715"/>
        <n v="2.4987411883182276"/>
        <n v="4.185364960161187"/>
        <n v="4.9859268194611985"/>
        <n v="2.7826547851724253"/>
        <n v="4.061952074810052"/>
        <n v="5.699481865284974"/>
        <n v="3.3869839048285515"/>
        <n v="3.3581133042809532"/>
        <n v="3.156434269857787"/>
        <n v="3.6591014358499305"/>
        <n v="3.040173724212812"/>
        <n v="3.8786673296867233"/>
        <n v="3.2242655839503227"/>
        <n v="5.345060893098782"/>
        <n v="3.7585833032164797"/>
        <n v="2.388673574309895"/>
        <n v="3.3356497567755383"/>
        <n v="5.059638322431705"/>
        <n v="3.1710362047440697"/>
        <n v="3.5220125786163523"/>
        <n v="2.535228051359967"/>
        <n v="4.841825645979232"/>
        <n v="3.9663322956301164"/>
        <n v="3.79525107045543"/>
        <n v="3.0444389884605942"/>
        <n v="2.3199119219880466"/>
        <n v="3.373146869935778"/>
        <n v="4.987749387469374"/>
        <n v="2.686735124490083"/>
        <n v="2.193137601697913"/>
        <n v="2.5708635464733027"/>
        <n v="3.9757040309221425"/>
        <n v="5.443094916779128"/>
        <n v="2.2277227722772275"/>
        <n v="4.757185332011893"/>
        <n v="4.3774872086412735"/>
        <n v="3.6236359892938026"/>
        <n v="4.470486111111112"/>
        <n v="2.8693931398416885"/>
        <n v="3.804307601213826"/>
        <n v="4.088181945025813"/>
        <n v="3.673146473779385"/>
        <n v="1.9296582951613752"/>
        <n v="2.568385884318229"/>
        <n v="5.490492381312177"/>
        <n v="3.937007874015748"/>
        <n v="2.68018018018018"/>
        <n v="2.2601586919932677"/>
        <n v="2.153478037942232"/>
        <n v="5.490196078431373"/>
        <n v="4.329638151014432"/>
        <n v="1.8092974115161122"/>
        <n v="2.437877243866113"/>
        <n v="2.8105380508126503"/>
        <n v="2.421183214270437"/>
        <n v="4.275318374772589"/>
        <n v="4.1490587783326935"/>
        <n v="5.650994575045208"/>
        <n v="2.3890627877002393"/>
        <n v="4.165226408572416"/>
        <n v="2.758825274399288"/>
        <n v="2.9307863404422347"/>
        <n v="5.458638154192459"/>
        <n v="2.813950854942815"/>
        <n v="7.323891166604548"/>
        <n v="2.503800411338639"/>
        <n v="5.287910071117229"/>
        <n v="2.3338627227157676"/>
        <n v="5.732929387089256"/>
        <n v="7.664807664807665"/>
        <n v="6.674311926605505"/>
        <n v="2.7938811384972135"/>
        <n v="7.077785564120533"/>
        <n v="7.219307450157397"/>
        <n v="4.5962108382726505"/>
        <n v="6.656694091249066"/>
        <n v="7.9"/>
        <n v="6.0606060606060606"/>
        <n v="5.420219244823386"/>
        <n v="5.693684733963202"/>
        <n v="2.7535292063650423"/>
        <n v="6.268897399717799"/>
        <n v="4.5527105548815525"/>
        <n v="5.645355850422195"/>
        <n v="3.516642547033285"/>
        <n v="2.4801938417140836"/>
        <n v="5.054286783976039"/>
        <n v="5.00772115596735"/>
        <n v="4.4425805145410635"/>
        <n v="5.437831100031162"/>
        <n v="4.508898015058179"/>
        <n v="2.638580931263858"/>
        <n v="4.8909869573681135"/>
        <n v="3.707815422027503"/>
        <n v="5.946632782719187"/>
        <n v="3.058814566509218"/>
        <n v="2.5494600019114975"/>
        <n v="5.217104176985306"/>
        <n v="2.2745347542548116"/>
        <n v="5.071441712148157"/>
        <n v="5.151906916612798"/>
        <n v="6.468036960211202"/>
        <n v="5.916071814838849"/>
        <n v="2.2159720446603597"/>
        <n v="4.591248173498423"/>
        <n v="2.188457950153272"/>
        <n v="2.1545796277619877"/>
        <n v="4.65611685940353"/>
        <n v="2.331027721801645"/>
        <n v="2.0251509149664053"/>
        <n v="4.967237370534771"/>
        <n v="4.703619513901032"/>
        <n v="4.2636090392964485"/>
        <n v="2.5299390575602527"/>
        <n v="3.8280166435506238"/>
        <n v="2.765601998114362"/>
        <n v="4.855923159018143"/>
        <n v="2.5576844308924587"/>
        <n v="4.899521531100478"/>
        <n v="2.752194754133678"/>
        <n v="3.6021505376344085"/>
        <n v="2.1789616106948846"/>
        <n v="6.870663178250483"/>
        <n v="2.3433283257708593"/>
        <n v="6.1341770517207985"/>
        <n v="2.20976724261031"/>
        <n v="3.7479999999999998"/>
        <n v="2.8886899433005073"/>
        <n v="2.37211603884456"/>
        <n v="2.339407439490971"/>
        <n v="3.542544708964575"/>
        <n v="6.095658955029894"/>
        <n v="6.57666901814917"/>
        <n v="3.024939662107804"/>
        <n v="5.457258580260072"/>
        <n v="4.031870980128636"/>
        <n v="3.70179285437895"/>
        <n v="3.5042670493165167"/>
        <n v="4.466680420878895"/>
        <n v="4.842032967032967"/>
        <n v="3.0810049815897766"/>
        <n v="5.105939562348037"/>
        <n v="4.53600114744693"/>
        <n v="5.490281404119524"/>
        <n v="3.5089453395275276"/>
        <n v="3.5311687060410444"/>
        <n v="5.02029159777544"/>
        <n v="2.5725712407353782"/>
        <n v="5.0042306297594585"/>
        <n v="4.685969304451943"/>
        <n v="2.5581629569946625"/>
        <n v="3.961421682443293"/>
        <n v="3.6456849900313304"/>
        <n v="5.104826064231372"/>
        <n v="3.3764017552413454"/>
        <n v="5.5614072045502425"/>
        <n v="4.634047715325516"/>
        <n v="4.07673860911271"/>
        <n v="3.844597329016593"/>
        <n v="4.036594173822325"/>
        <n v="3.301664572864322"/>
        <n v="4.587667161961367"/>
        <n v="6.650653055096832"/>
        <n v="3.496066570105933"/>
        <n v="4.556962025316456"/>
        <n v="4.8114710568242165"/>
        <n v="3.1295969997251905"/>
        <n v="3.463541666666667"/>
        <n v="5.398658136994851"/>
        <n v="3.1844893064161504"/>
        <n v="5.84520725388601"/>
        <n v="3.6785554394866438"/>
        <n v="4.4781643227239085"/>
        <n v="2.074485462267233"/>
        <n v="2.897203541661257"/>
        <n v="2.1241091604380324"/>
        <n v="4.407040986766028"/>
        <n v="3.4339622641509435"/>
        <n v="4.496689081669318"/>
        <n v="5.130346043232211"/>
        <n v="4.0200065441967"/>
        <n v="6.702941408406277"/>
        <n v="5.293049671802988"/>
        <n v="3.713812262403743"/>
        <n v="3.561879297173415"/>
        <n v="5.255202883385652"/>
        <n v="2.621373521182073"/>
        <n v="4.590986671001301"/>
        <n v="3.1986952252567113"/>
        <n v="4.053805048829925"/>
        <n v="2.9534510433386836"/>
        <n v="3.164931377188831"/>
        <n v="3.1178880291306323"/>
        <n v="3.919986409581245"/>
        <n v="7.411531799059638"/>
        <n v="4.827963404932379"/>
        <n v="3.7640702386312475"/>
        <n v="3.442698706099815"/>
        <n v="6.982193064667292"/>
        <n v="4.842408996744599"/>
        <n v="3.3118635216293844"/>
        <n v="1.870274572224433"/>
        <n v="6.273143106077107"/>
        <n v="2.742732310529006"/>
        <n v="3.0548451264563794"/>
        <n v="4.563609467455621"/>
        <n v="4.798688285662234"/>
        <n v="3.4977072310405646"/>
        <n v="4.634040710264184"/>
        <n v="3.3440017658095136"/>
        <n v="3.236546172320315"/>
        <n v="2.3522780745344827"/>
        <n v="2.674066599394551"/>
        <n v="5.377926421404682"/>
        <n v="4.788758435795507"/>
        <n v="2.6701234105869323"/>
        <n v="4.6633416458852865"/>
        <n v="4.672897196261682"/>
        <n v="5.0714150884036995"/>
        <n v="2.8111345109668915"/>
        <n v="1.8469656992084433"/>
        <n v="6.992374305286287"/>
        <n v="4.2181663937033855"/>
        <n v="3.072926331415847"/>
        <n v="5.022573363431151"/>
        <n v="5.936627412893043"/>
        <n v="2.532659680316324"/>
        <n v="2.1519968980224893"/>
        <n v="4.2464392182842"/>
        <n v="3.620654186381403"/>
        <n v="4.413428894756696"/>
        <n v="4.472049689440994"/>
        <n v="3.4497125239563373"/>
        <n v="4.09234411996843"/>
        <n v="4.488277328293864"/>
        <n v="2.145705779924732"/>
        <n v="4.176143543088198"/>
        <n v="4.042496162187188"/>
        <n v="2.1037212491429282"/>
        <n v="1.611523103251569"/>
        <n v="4.6253175275190515"/>
        <n v="3.482435207281203"/>
        <n v="3.5871649120446674"/>
        <n v="2.3124220281589736"/>
        <n v="4.234705611775529"/>
        <n v="4.137408784248933"/>
        <n v="4.092594960992455"/>
        <n v="3.1665611146295127"/>
        <n v="4.584968074467267"/>
        <n v="2.348751385257631"/>
        <n v="3.4252825156173228"/>
        <n v="3.853002462587611"/>
        <n v="5.059653944656131"/>
        <n v="2.2983702465524445"/>
        <n v="6.1158979557357664"/>
        <n v="3.4638177113763455"/>
        <n v="4.136528028933093"/>
        <n v="5.347339884784819"/>
        <n v="2.0697834570357334"/>
        <n v="5.282112845138055"/>
        <n v="2.5013758943313156"/>
        <n v="4.189735148885231"/>
        <n v="2.3502672778292726"/>
        <n v="4.87636174995677"/>
        <n v="3.707986856838666"/>
        <n v="2.803167954283812"/>
        <n v="2.438723677072545"/>
        <n v="3.9381469812897834"/>
        <n v="3.9938993731773538"/>
        <n v="3.670026620404989"/>
        <n v="2.6244857426585333"/>
        <n v="2.8026948989412896"/>
        <n v="1.944387591006111"/>
        <n v="3.6266565302278972"/>
        <n v="4.321362333501939"/>
        <n v="6.204963971176942"/>
        <n v="3.9743481562737317"/>
        <n v="2.771344758375791"/>
        <n v="2.9948979591836733"/>
        <n v="3.5669688110593665"/>
        <n v="3.4118846315284523"/>
        <n v="4.740406320541761"/>
        <n v="3.8912606114137107"/>
        <n v="3.0271686663908426"/>
        <n v="4.4674556213017755"/>
        <n v="4.813936707555922"/>
        <n v="3.381078256593103"/>
        <n v="3.6104114189756507"/>
        <n v="4.0"/>
        <n v="2.5804680529819506"/>
        <n v="2.1707186748597382"/>
        <n v="2.7435601921839217"/>
        <n v="5.38881309686221"/>
        <n v="2.371111594518164"/>
        <n v="3.7237643872714963"/>
        <n v="3.8868287323169897"/>
        <n v="2.2553516819571864"/>
        <n v="4.57516339869281"/>
        <n v="3.0580669697650698"/>
        <n v="4.340887328439195"/>
        <n v="5.393725992317542"/>
        <n v="4.5961682334189895"/>
        <n v="4.3186434690453055"/>
        <n v="5.127689523426503"/>
        <n v="3.360620422231796"/>
        <n v="3.01523266328163"/>
        <n v="3.5879778017912414"/>
        <n v="5.079986940907607"/>
        <n v="2.4803671596124426"/>
        <n v="2.6417382911846414"/>
        <n v="3.797507788161994"/>
        <n v="3.614457831325301"/>
        <n v="3.883730318934195"/>
        <n v="4.575306479859894"/>
        <n v="3.0273116156630473"/>
        <n v="5.4833828976887355"/>
        <n v="2.8744658931617435"/>
        <n v="3.529012555140821"/>
        <n v="1.9717569423068275"/>
        <n v="3.6020293682548825"/>
        <n v="2.606800507518683"/>
        <n v="3.210706504824152"/>
        <n v="4.7820633427406705"/>
        <n v="3.8106731027085012"/>
        <n v="4.080827067669173"/>
        <n v="4.296940310984785"/>
        <n v="4.4043615175339"/>
        <n v="3.145719914419472"/>
        <n v="6.995007281048471"/>
        <n v="4.075966237227899"/>
        <n v="3.0002526528549773"/>
        <n v="2.209361533016232"/>
        <n v="3.995936335929563"/>
        <n v="4.74293302978562"/>
        <n v="2.737682621857588"/>
        <n v="5.1866337896437384"/>
        <n v="8.72794281885191"/>
        <n v="3.936411809235428"/>
        <n v="4.355751702964597"/>
        <n v="4.14992055332274"/>
        <n v="4.857117579403698"/>
        <n v="2.992002285061411"/>
        <n v="1.5425068335776255"/>
        <n v="6.355851569933396"/>
        <n v="4.698549682368452"/>
        <n v="6.955530216647662"/>
        <n v="2.848887993012162"/>
        <n v="6.440759432828647"/>
        <n v="8.121651978572663"/>
        <n v="3.3684967633660996"/>
        <n v="5.56905788579642"/>
        <n v="8.367373830544208"/>
        <n v="4.483557402957286"/>
        <n v="4.680422747861098"/>
        <n v="3.8497321228064547"/>
        <n v="2.5051678314794765"/>
        <n v="4.780876494023905"/>
        <n v="4.763719512195122"/>
        <n v="9.861533265788584"/>
        <n v="4.902213072568194"/>
        <n v="7.380918323558862"/>
        <n v="3.2718230598089253"/>
        <n v="1.0821989162462002"/>
        <n v="7.349081364829396"/>
        <n v="7.689232409381663"/>
        <n v="6.367953244855716"/>
        <n v="4.015625"/>
        <n v="6.921517520996236"/>
        <n v="7.185834622657728"/>
        <n v="3.415716191304087"/>
        <n v="2.8821743242570563"/>
        <n v="1.9701766077974008"/>
        <n v="4.29654036243822"/>
        <n v="3.2658615410784146"/>
        <n v="4.1524338172502135"/>
        <n v="4.166666666666666"/>
        <n v="3.9750328515111697"/>
        <n v="4.428956834532374"/>
        <n v="9.88620199146515"/>
        <n v="4.115160056372055"/>
        <n v="2.4707576484854608"/>
        <n v="6.704090850432314"/>
        <n v="5.862034935359716"/>
        <n v="4.777777777777778"/>
        <n v="4.862708453133985"/>
        <n v="5.78127081390702"/>
        <n v="8.98944805194805"/>
        <n v="4.0186870876077645"/>
        <n v="5.622448979591836"/>
        <n v="3.88564062428065"/>
        <n v="3.4197047303404644"/>
        <n v="4.293965012136939"/>
        <n v="4.858980702622464"/>
        <n v="6.406538360137095"/>
        <n v="3.139876430669503"/>
        <n v="4.899403874813711"/>
        <n v="9.223584354932866"/>
        <n v="8.16627358490566"/>
        <n v="4.994236311239193"/>
        <n v="7.525814138204924"/>
        <n v="6.9957081545064375"/>
        <n v="3.129702076436955"/>
        <n v="4.352980226658447"/>
        <n v="3.730445246690734"/>
        <n v="3.315592007678213"/>
        <n v="5.637367694431662"/>
        <n v="7.483629560336763"/>
        <n v="2.369082155662542"/>
        <n v="6.103589082312486"/>
        <n v="2.869952635943276"/>
        <n v="4.219171211836248"/>
        <n v="4.578155657292348"/>
        <n v="5.154105154105154"/>
        <n v="3.4844622810347636"/>
        <n v="3.587366975626502"/>
        <n v="4.017857142857143"/>
        <n v="6.355748373101952"/>
        <n v="7.727114514444831"/>
        <n v="6.495154591601292"/>
        <n v="3.6352603706972637"/>
        <n v="5.276653171390013"/>
        <n v="6.0893975383286545"/>
        <n v="3.8201986850870333"/>
        <n v="4.534158340518334"/>
        <n v="3.3213263138450166"/>
        <n v="6.923076923076923"/>
        <n v="6.393696719194007"/>
        <n v="7.093723129836629"/>
        <n v="5.701471536612535"/>
        <n v="8.501017408998417"/>
        <n v="6.862866328675652"/>
        <n v="4.95094893187861"/>
        <n v="3.6063436888985443"/>
        <n v="7.668445216528105"/>
        <n v="8.307954683883542"/>
        <n v="5.782455073895369"/>
        <n v="6.922810661128419"/>
        <n v="8.687493100783751"/>
        <n v="6.0758222445392915"/>
        <n v="4.111474281782213"/>
        <n v="3.8737786597070936"/>
        <n v="4.102904434728295"/>
        <n v="2.975206611570248"/>
        <n v="4.112444937623995"/>
        <n v="4.950053514092044"/>
        <n v="7.746563060370591"/>
        <n v="4.828336796279807"/>
        <n v="4.502085828755524"/>
        <n v="4.652684240908216"/>
        <n v="4.968461468141512"/>
        <n v="4.092998585572842"/>
        <n v="4.1352052855120345"/>
        <n v="5.120109814687714"/>
        <n v="2.48346582938072"/>
        <n v="7.500738261639925"/>
        <n v="4.417780201799836"/>
        <n v="3.5424422933730453"/>
        <n v="5.195132715465607"/>
        <n v="5.895480751348336"/>
        <n v="5.571911460037073"/>
        <n v="5.010989010989011"/>
        <n v="8.55348235728801"/>
        <n v="3.476385231665639"/>
        <n v="3.5138692883317715"/>
        <n v="6.731156791616284"/>
        <n v="3.995243757431629"/>
        <n v="7.7499185932920875"/>
        <n v="3.8702228380094676"/>
        <n v="3.5346097201767304"/>
        <n v="3.4662379421221865"/>
        <n v="6.176919166243009"/>
        <n v="5.338465021507811"/>
        <n v="5.026178010471204"/>
        <n v="5.531258039619243"/>
        <n v="5.304010349288486"/>
        <n v="7.238762405137186"/>
        <n v="5.46700942587832"/>
        <n v="5.027354724234807"/>
        <n v="6.39622452053419"/>
        <n v="4.815746837188459"/>
        <n v="3.7478113720618587"/>
        <n v="6.6636548452676765"/>
        <n v="3.157676778134382"/>
        <n v="7.608882768118437"/>
        <n v="6.677087985707905"/>
        <n v="4.476285682550261"/>
        <n v="3.6875337417552756"/>
        <n v="4.00362697914487"/>
        <n v="3.2466159052453465"/>
        <n v="3.9930298086904936"/>
        <n v="3.907585955975987"/>
        <n v="6.581611988659376"/>
        <n v="3.1870583860171067"/>
        <n v="3.856308158407271"/>
        <n v="4.921736324027756"/>
        <n v="2.9675687133469935"/>
        <n v="4.355203619909502"/>
        <n v="2.9700734048560133"/>
        <n v="2.8972451470417293"/>
        <n v="2.9359372975774063"/>
        <n v="3.192556781902764"/>
        <n v="4.892549520025521"/>
        <n v="3.500374834207946"/>
        <n v="3.1426522012014706"/>
        <n v="2.0919722312817406"/>
        <n v="4.231922692435855"/>
        <n v="2.6739917835525198"/>
        <n v="5.094774847056463"/>
        <n v="3.1173092698933553"/>
        <n v="2.7997558143710424"/>
        <n v="5.807335581787521"/>
        <n v="6.9844506755034415"/>
        <n v="2.8731286859216696"/>
        <n v="3.7868447264544214"/>
        <n v="3.19276793645817"/>
        <n v="5.679828827076444"/>
        <n v="7.641090678503487"/>
        <n v="3.2506694026676013"/>
        <n v="3.7329386614043747"/>
        <n v="5.54614733276884"/>
        <n v="2.817486996213864"/>
        <n v="2.7068057501036864"/>
        <n v="5.5994836211069865"/>
        <n v="4.067321178120617"/>
        <n v="6.072452436799583"/>
        <n v="3.7298759664710315"/>
        <n v="4.476614699331848"/>
        <n v="2.668886774500476"/>
        <n v="5.5934515688949515"/>
        <n v="5.850706119704102"/>
        <n v="5.842876493042729"/>
        <n v="5.224321133412042"/>
        <n v="5.548464599444403"/>
        <n v="5.486230636833047"/>
        <n v="3.7110764747738285"/>
        <n v="3.3692808372152383"/>
        <n v="3.327495621716287"/>
        <n v="4.072764766534099"/>
        <n v="3.5539982480290324"/>
        <n v="5.016008537886873"/>
        <n v="5.709231264072049"/>
        <n v="4.560925799863853"/>
        <n v="5.0627784528149045"/>
        <n v="5.066530194472876"/>
        <n v="3.4627625716104395"/>
        <n v="4.375366568914956"/>
        <n v="5.696465696465697"/>
        <n v="6.550387596899225"/>
        <n v="3.762650995755795"/>
        <n v="5.251783012751242"/>
        <n v="5.686387133831131"/>
        <n v="4.0976712400778"/>
        <n v="3.055065780550658"/>
        <n v="2.2103717443388207"/>
        <n v="4.3231961836613"/>
        <n v="3.228549106117009"/>
        <n v="3.849095080295692"/>
        <n v="3.588785046728972"/>
        <n v="3.1405095858577474"/>
        <n v="4.247488311946682"/>
        <n v="3.7151234496078933"/>
        <n v="4.519020737000369"/>
      </sharedItems>
    </cacheField>
    <cacheField name="Duration Minutes" numFmtId="4">
      <sharedItems containsSemiMixedTypes="0" containsString="0" containsNumber="1">
        <n v="654.0"/>
        <n v="144.0"/>
        <n v="510.0"/>
        <n v="3016.0"/>
        <n v="2478.0"/>
        <n v="1622.0"/>
        <n v="532.0"/>
        <n v="3375.0"/>
        <n v="792.0000000000001"/>
        <n v="413.0"/>
        <n v="470.0"/>
        <n v="1134.0"/>
        <n v="2584.0"/>
        <n v="234.0"/>
        <n v="1706.9999999999998"/>
        <n v="2333.0"/>
        <n v="2650.0"/>
        <n v="614.0"/>
        <n v="2827.0"/>
        <n v="97.99999999999999"/>
        <n v="440.00000000000006"/>
        <n v="860.0"/>
        <n v="2179.0"/>
        <n v="348.0"/>
        <n v="565.0"/>
        <n v="485.00000000000006"/>
        <n v="2873.0"/>
        <n v="77.03333333333333"/>
        <n v="2013.9999999999998"/>
        <n v="405.0"/>
        <n v="1785.0"/>
        <n v="2165.0"/>
        <n v="2850.0"/>
        <n v="586.0"/>
        <n v="618.0"/>
        <n v="3503.9999999999995"/>
        <n v="1741.0"/>
        <n v="1567.9999999999998"/>
        <n v="1646.0"/>
        <n v="296.0"/>
        <n v="2177.0"/>
        <n v="2044.0"/>
        <n v="2967.9999999999995"/>
        <n v="1086.0"/>
        <n v="794.0"/>
        <n v="60.4"/>
        <n v="2805.0"/>
        <n v="1964.0"/>
        <n v="70.26666666666667"/>
        <n v="1196.0"/>
        <n v="1291.0"/>
        <n v="368.99999999999994"/>
        <n v="638.0"/>
        <n v="779.0"/>
        <n v="466.0"/>
        <n v="356.0"/>
        <n v="349.0"/>
        <n v="310.0"/>
        <n v="1187.0"/>
        <n v="584.0"/>
        <n v="746.0000000000001"/>
        <n v="2046.0"/>
        <n v="2918.9999999999995"/>
        <n v="1416.0"/>
        <n v="679.0"/>
        <n v="2411.0"/>
        <n v="1398.0"/>
        <n v="756.0"/>
        <n v="762.0"/>
        <n v="665.0"/>
        <n v="1651.0"/>
        <n v="2311.0"/>
        <n v="630.0"/>
        <n v="401.0"/>
        <n v="642.0"/>
        <n v="809.0"/>
        <n v="666.0"/>
        <n v="2762.0"/>
        <n v="634.0"/>
        <n v="2416.0"/>
        <n v="943.0"/>
        <n v="380.0"/>
        <n v="63.93333333333333"/>
        <n v="376.0"/>
        <n v="2606.0"/>
        <n v="768.0"/>
        <n v="2453.0"/>
        <n v="803.0"/>
        <n v="597.0"/>
        <n v="80.13333333333334"/>
        <n v="698.0"/>
        <n v="594.0"/>
        <n v="831.9999999999999"/>
        <n v="1110.0"/>
        <n v="688.0"/>
        <n v="963.9999999999999"/>
        <n v="740.9999999999999"/>
        <n v="386.0"/>
        <n v="80.89999999999999"/>
        <n v="458.99999999999994"/>
        <n v="645.0"/>
        <n v="639.0"/>
        <n v="609.0"/>
        <n v="3106.0"/>
        <n v="640.0"/>
        <n v="930.0"/>
        <n v="1104.0"/>
        <n v="669.0"/>
        <n v="837.0000000000001"/>
        <n v="2164.0"/>
        <n v="734.0"/>
        <n v="1010.9999999999999"/>
        <n v="499.0"/>
        <n v="807.0"/>
        <n v="2695.0"/>
        <n v="1123.0"/>
        <n v="65.15"/>
        <n v="994.0"/>
        <n v="813.0"/>
        <n v="689.0"/>
        <n v="900.0"/>
        <n v="749.0"/>
        <n v="3225.0"/>
        <n v="3045.0"/>
        <n v="694.0"/>
        <n v="64.03333333333333"/>
        <n v="70.93333333333334"/>
        <n v="2330.0"/>
        <n v="2832.0"/>
        <n v="936.0"/>
        <n v="2370.0"/>
        <n v="887.0"/>
        <n v="69.86666666666666"/>
        <n v="873.9999999999999"/>
        <n v="72.0"/>
        <n v="737.9999999999999"/>
        <n v="2711.0"/>
        <n v="62.516666666666666"/>
        <n v="1689.0"/>
        <n v="72.28333333333333"/>
        <n v="3135.9999999999995"/>
        <n v="816.0"/>
        <n v="754.0"/>
        <n v="1079.0"/>
        <n v="1989.0000000000002"/>
        <n v="409.0"/>
        <n v="1190.0"/>
        <n v="616.0"/>
        <n v="715.0"/>
        <n v="861.0"/>
        <n v="1318.0"/>
        <n v="879.0000000000001"/>
        <n v="851.0"/>
        <n v="2196.0"/>
        <n v="796.0"/>
        <n v="1166.0"/>
        <n v="1179.0"/>
        <n v="840.0"/>
        <n v="1113.0"/>
        <n v="1068.0"/>
        <n v="1028.0"/>
        <n v="856.0"/>
        <n v="1099.0"/>
        <n v="1127.0"/>
        <n v="1565.0"/>
        <n v="663.0"/>
        <n v="1082.0"/>
        <n v="2181.0"/>
        <n v="983.0"/>
        <n v="628.0"/>
        <n v="1711.0000000000002"/>
        <n v="785.9999999999999"/>
        <n v="1150.0"/>
        <n v="1968.9999999999998"/>
        <n v="721.0"/>
        <n v="781.0"/>
        <n v="2073.0"/>
        <n v="921.9999999999999"/>
        <n v="1029.0"/>
        <n v="849.0"/>
        <n v="69.0"/>
        <n v="501.0"/>
        <n v="610.0"/>
        <n v="970.0000000000001"/>
        <n v="646.0"/>
        <n v="541.0"/>
        <n v="755.0"/>
        <n v="693.0"/>
        <n v="608.0"/>
        <n v="2479.0"/>
        <n v="738.9999999999999"/>
        <n v="833.0000000000001"/>
        <n v="649.0"/>
        <n v="1050.0"/>
        <n v="905.0"/>
        <n v="503.99999999999994"/>
        <n v="657.0"/>
        <n v="961.0"/>
        <n v="770.0"/>
        <n v="490.0"/>
        <n v="1606.0"/>
        <n v="717.0"/>
        <n v="664.0"/>
        <n v="2575.0"/>
        <n v="1254.0"/>
        <n v="731.0"/>
        <n v="582.0"/>
        <n v="1175.0"/>
        <n v="767.0"/>
        <n v="751.0"/>
        <n v="3282.0"/>
        <n v="1064.0"/>
        <n v="1074.0"/>
        <n v="843.0"/>
        <n v="2954.0"/>
        <n v="776.0"/>
        <n v="708.0"/>
        <n v="2945.0"/>
        <n v="987.0"/>
        <n v="1141.0"/>
        <n v="647.0"/>
        <n v="643.0"/>
        <n v="718.0"/>
        <n v="818.0"/>
        <n v="834.0000000000001"/>
        <n v="744.0000000000001"/>
        <n v="1015.0000000000001"/>
        <n v="892.0"/>
        <n v="797.0"/>
        <n v="812.0"/>
        <n v="888.0"/>
        <n v="826.0"/>
        <n v="494.0"/>
        <n v="1049.0"/>
        <n v="1191.0"/>
        <n v="911.0"/>
        <n v="786.9999999999999"/>
        <n v="668.0"/>
        <n v="1087.0"/>
        <n v="1063.0"/>
        <n v="575.0"/>
        <n v="673.0"/>
        <n v="897.0"/>
        <n v="858.0"/>
        <n v="784.9999999999999"/>
        <n v="973.0000000000001"/>
        <n v="69.38333333333333"/>
        <n v="1289.0"/>
        <n v="830.9999999999999"/>
        <n v="1532.0"/>
        <n v="850.0"/>
        <n v="732.0"/>
        <n v="3129.0"/>
        <n v="627.0"/>
        <n v="735.0"/>
        <n v="841.0"/>
        <n v="882.0000000000001"/>
        <n v="1040.0"/>
        <n v="1095.0"/>
        <n v="516.0"/>
        <n v="626.0"/>
        <n v="1111.0"/>
        <n v="544.0"/>
        <n v="965.9999999999999"/>
        <n v="713.0"/>
        <n v="772.0"/>
        <n v="1138.0"/>
        <n v="579.0"/>
        <n v="1128.0"/>
        <n v="773.0"/>
        <n v="766.0"/>
        <n v="748.0000000000001"/>
        <n v="298.0"/>
        <n v="702.0"/>
        <n v="771.0"/>
        <n v="838.0000000000001"/>
        <n v="1266.0"/>
        <n v="1214.0"/>
        <n v="906.0"/>
        <n v="846.0"/>
        <n v="1042.0"/>
        <n v="707.0"/>
        <n v="573.0"/>
        <n v="680.0"/>
        <n v="1886.0"/>
        <n v="871.0"/>
        <n v="1494.0000000000002"/>
        <n v="295.0"/>
        <n v="706.0"/>
        <n v="588.0"/>
        <n v="1704.0"/>
        <n v="724.0"/>
        <n v="842.0"/>
        <n v="3220.0"/>
        <n v="451.0"/>
        <n v="1078.0"/>
        <n v="2472.0"/>
        <n v="659.0"/>
        <n v="745.0000000000001"/>
        <n v="2217.0"/>
        <n v="977.0"/>
        <n v="515.0"/>
        <n v="867.0"/>
        <n v="2088.0"/>
        <n v="997.0"/>
        <n v="848.0"/>
        <n v="1044.0"/>
        <n v="3310.0"/>
        <n v="926.0000000000001"/>
        <n v="1062.0"/>
        <n v="2136.0"/>
        <n v="62.099999999999994"/>
        <n v="871.9999999999999"/>
        <n v="3195.0"/>
        <n v="920.9999999999999"/>
        <n v="2308.0"/>
        <n v="824.0"/>
        <n v="656.0"/>
        <n v="2579.0"/>
        <n v="821.0"/>
        <n v="988.0"/>
        <n v="681.0"/>
        <n v="878.0000000000001"/>
        <n v="1072.0"/>
        <n v="789.0000000000001"/>
        <n v="865.0"/>
        <n v="570.0"/>
        <n v="696.0"/>
        <n v="2743.0"/>
        <n v="479.0"/>
        <n v="621.0"/>
        <n v="1309.0"/>
        <n v="684.0"/>
        <n v="3167.0"/>
        <n v="876.9999999999999"/>
        <n v="760.0"/>
        <n v="560.0"/>
        <n v="1173.0"/>
        <n v="854.0"/>
        <n v="2659.0"/>
        <n v="872.9999999999999"/>
        <n v="2859.0"/>
        <n v="1308.0"/>
        <n v="883.0000000000001"/>
        <n v="1103.0"/>
        <n v="711.0"/>
        <n v="915.0"/>
        <n v="64.31666666666666"/>
        <n v="677.0"/>
        <n v="1219.0"/>
        <n v="699.0"/>
        <n v="2264.0"/>
        <n v="907.0"/>
        <n v="547.0"/>
        <n v="685.0"/>
        <n v="1278.0"/>
        <n v="1043.0"/>
        <n v="939.0"/>
        <n v="774.0"/>
        <n v="1284.0"/>
        <n v="63.666666666666664"/>
        <n v="1039.0"/>
        <n v="739.9999999999999"/>
        <n v="910.0"/>
        <n v="64.1"/>
        <n v="1290.0"/>
        <n v="2876.0"/>
        <n v="743.0000000000001"/>
        <n v="959.0"/>
        <n v="687.0"/>
        <n v="1270.0"/>
        <n v="722.0"/>
        <n v="972.0000000000001"/>
        <n v="800.0"/>
        <n v="2962.0"/>
        <n v="801.0"/>
        <n v="1362.0"/>
        <n v="949.0"/>
        <n v="934.0"/>
        <n v="1479.0"/>
        <n v="1059.0"/>
        <n v="1493.0"/>
        <n v="3240.0"/>
        <n v="1417.0"/>
        <n v="1893.0000000000002"/>
        <n v="3397.9999999999995"/>
        <n v="1236.0"/>
        <n v="1100.0"/>
        <n v="1152.0"/>
        <n v="1414.0"/>
        <n v="1102.0"/>
        <n v="1463.0"/>
        <n v="1966.0"/>
        <n v="954.0"/>
        <n v="1395.0"/>
        <n v="542.0"/>
        <n v="712.0"/>
        <n v="1542.0"/>
        <n v="1210.0"/>
        <n v="1455.0"/>
        <n v="917.9999999999999"/>
        <n v="1301.0"/>
        <n v="613.0"/>
        <n v="1354.0"/>
        <n v="1636.0"/>
        <n v="531.0"/>
        <n v="318.0"/>
        <n v="948.0"/>
        <n v="1055.0"/>
        <n v="514.0"/>
        <n v="753.0"/>
        <n v="1107.0"/>
        <n v="827.9999999999999"/>
        <n v="1061.0"/>
        <n v="935.0"/>
        <n v="675.0"/>
        <n v="576.0"/>
        <n v="3072.0"/>
        <n v="635.0"/>
        <n v="509.00000000000006"/>
        <n v="583.0"/>
        <n v="701.0"/>
        <n v="723.0"/>
        <n v="545.0"/>
        <n v="728.0"/>
        <n v="822.0"/>
        <n v="810.0"/>
        <n v="726.0"/>
        <n v="686.0"/>
        <n v="1031.0"/>
        <n v="819.0"/>
        <n v="780.0"/>
        <n v="727.0"/>
        <n v="1280.0"/>
        <n v="880.0000000000001"/>
        <n v="793.0000000000001"/>
        <n v="482.99999999999994"/>
        <n v="540.0"/>
        <n v="733.0"/>
        <n v="357.0"/>
        <n v="660.0"/>
        <n v="358.0"/>
        <n v="543.0"/>
        <n v="601.0"/>
        <n v="815.0"/>
        <n v="759.0"/>
        <n v="585.0"/>
        <n v="895.0"/>
        <n v="952.0"/>
        <n v="569.0"/>
        <n v="624.0"/>
        <n v="884.0"/>
        <n v="1757.0"/>
        <n v="932.0"/>
        <n v="1790.0"/>
        <n v="691.0"/>
        <n v="421.0"/>
        <n v="351.0"/>
        <n v="396.00000000000006"/>
        <n v="404.0"/>
        <n v="676.0"/>
        <n v="489.0"/>
        <n v="441.00000000000006"/>
        <n v="591.0"/>
        <n v="580.0"/>
        <n v="674.0"/>
        <n v="257.0"/>
        <n v="595.0"/>
        <n v="704.0"/>
        <n v="457.0"/>
        <n v="286.0"/>
      </sharedItems>
    </cacheField>
    <cacheField name="Week Start Date" numFmtId="165">
      <sharedItems containsSemiMixedTypes="0" containsDate="1" containsString="0">
        <d v="2025-12-15T00:00:00Z"/>
        <d v="2025-12-08T00:00:00Z"/>
        <d v="2025-12-01T00:00:00Z"/>
        <d v="2025-11-24T00:00:00Z"/>
        <d v="2025-11-17T00:00:00Z"/>
        <d v="2025-11-10T00:00:00Z"/>
        <d v="2025-11-03T00:00:00Z"/>
        <d v="2025-10-27T00:00:00Z"/>
        <d v="2025-10-20T00:00:00Z"/>
        <d v="2025-10-13T00:00:00Z"/>
        <d v="2025-10-06T00:00:00Z"/>
        <d v="2025-09-29T00:00:00Z"/>
        <d v="2025-09-22T00:00:00Z"/>
        <d v="2025-09-15T00:00:00Z"/>
        <d v="2025-09-08T00:00:00Z"/>
        <d v="2025-09-01T00:00:00Z"/>
        <d v="2025-08-25T00:00:00Z"/>
        <d v="2025-08-18T00:00:00Z"/>
        <d v="2025-08-11T00:00:00Z"/>
        <d v="2025-08-04T00:00:00Z"/>
        <d v="2025-07-28T00:00:00Z"/>
        <d v="2025-07-21T00:00:00Z"/>
        <d v="2025-07-14T00:00:00Z"/>
        <d v="2025-07-07T00:00:00Z"/>
        <d v="2025-06-30T00:00:00Z"/>
        <d v="2025-06-23T00:00:00Z"/>
        <d v="2025-06-16T00:00:00Z"/>
        <d v="2025-06-09T00:00:00Z"/>
        <d v="2025-06-02T00:00:00Z"/>
        <d v="2025-05-26T00:00:00Z"/>
        <d v="2025-05-19T00:00:00Z"/>
        <d v="2025-05-12T00:00:00Z"/>
        <d v="2025-05-05T00:00:00Z"/>
        <d v="2025-04-14T00:00:00Z"/>
        <d v="2025-03-31T00:00:00Z"/>
        <d v="2025-03-24T00:00:00Z"/>
        <d v="2025-03-17T00:00:00Z"/>
        <d v="2025-03-10T00:00:00Z"/>
        <d v="2025-03-03T00:00:00Z"/>
        <d v="2025-02-24T00:00:00Z"/>
        <d v="2025-02-17T00:00:00Z"/>
        <d v="2025-02-10T00:00:00Z"/>
        <d v="2025-02-03T00:00:00Z"/>
        <d v="2025-01-27T00:00:00Z"/>
        <d v="2025-01-20T00:00:00Z"/>
        <d v="2025-01-13T00:00:00Z"/>
        <d v="2025-01-06T00:00:00Z"/>
        <d v="2024-12-30T00:00:00Z"/>
        <d v="2024-12-23T00:00:00Z"/>
        <d v="2024-12-16T00:00:00Z"/>
        <d v="2024-12-09T00:00:00Z"/>
        <d v="2024-12-02T00:00:00Z"/>
        <d v="2024-11-25T00:00:00Z"/>
        <d v="2024-11-18T00:00:00Z"/>
        <d v="2024-11-11T00:00:00Z"/>
        <d v="2024-10-28T00:00:00Z"/>
        <d v="2024-10-21T00:00:00Z"/>
        <d v="2024-10-14T00:00:00Z"/>
        <d v="2024-10-07T00:00:00Z"/>
        <d v="2024-09-30T00:00:00Z"/>
        <d v="2024-09-23T00:00:00Z"/>
        <d v="2024-09-16T00:00:00Z"/>
        <d v="2024-09-09T00:00:00Z"/>
        <d v="2024-09-02T00:00:00Z"/>
        <d v="2024-08-26T00:00:00Z"/>
        <d v="2024-08-19T00:00:00Z"/>
        <d v="2024-08-12T00:00:00Z"/>
        <d v="2024-08-05T00:00:00Z"/>
        <d v="2024-07-29T00:00:00Z"/>
        <d v="2024-07-22T00:00:00Z"/>
        <d v="2024-07-15T00:00:00Z"/>
        <d v="2024-07-08T00:00:00Z"/>
        <d v="2024-07-01T00:00:00Z"/>
        <d v="2024-06-24T00:00:00Z"/>
        <d v="2024-06-17T00:00:00Z"/>
        <d v="2024-06-10T00:00:00Z"/>
        <d v="2024-06-03T00:00:00Z"/>
        <d v="2024-05-27T00:00:00Z"/>
        <d v="2024-05-20T00:00:00Z"/>
        <d v="2024-05-13T00:00:00Z"/>
        <d v="2024-05-06T00:00:00Z"/>
        <d v="2024-04-29T00:00:00Z"/>
        <d v="2024-04-22T00:00:00Z"/>
        <d v="2024-04-15T00:00:00Z"/>
        <d v="2024-04-08T00:00:00Z"/>
        <d v="2024-04-01T00:00:00Z"/>
        <d v="2024-03-25T00:00:00Z"/>
        <d v="2024-03-18T00:00:00Z"/>
        <d v="2024-03-11T00:00:00Z"/>
        <d v="2024-03-04T00:00:00Z"/>
        <d v="2024-02-26T00:00:00Z"/>
        <d v="2024-02-19T00:00:00Z"/>
        <d v="2024-01-29T00:00:00Z"/>
        <d v="2024-01-15T00:00:00Z"/>
        <d v="2024-01-08T00:00:00Z"/>
        <d v="2024-01-01T00:00:00Z"/>
        <d v="2023-12-25T00:00:00Z"/>
        <d v="2023-12-18T00:00:00Z"/>
        <d v="2023-12-11T00:00:00Z"/>
        <d v="2023-12-04T00:00:00Z"/>
        <d v="2023-11-27T00:00:00Z"/>
        <d v="2023-11-20T00:00:00Z"/>
        <d v="2023-11-13T00:00:00Z"/>
        <d v="2023-11-06T00:00:00Z"/>
        <d v="2023-10-30T00:00:00Z"/>
        <d v="2023-10-23T00:00:00Z"/>
        <d v="2023-10-16T00:00:00Z"/>
        <d v="2023-10-09T00:00:00Z"/>
        <d v="2023-10-02T00:00:00Z"/>
        <d v="2023-09-25T00:00:00Z"/>
        <d v="2023-09-18T00:00:00Z"/>
        <d v="2023-09-11T00:00:00Z"/>
        <d v="2023-09-04T00:00:00Z"/>
        <d v="2023-08-28T00:00:00Z"/>
        <d v="2023-08-21T00:00:00Z"/>
        <d v="2023-08-14T00:00:00Z"/>
        <d v="2023-08-07T00:00:00Z"/>
        <d v="2023-07-31T00:00:00Z"/>
        <d v="2023-07-24T00:00:00Z"/>
        <d v="2023-07-17T00:00:00Z"/>
        <d v="2023-07-10T00:00:00Z"/>
        <d v="2023-07-03T00:00:00Z"/>
        <d v="2023-06-26T00:00:00Z"/>
        <d v="2023-06-19T00:00:00Z"/>
        <d v="2023-06-12T00:00:00Z"/>
        <d v="2023-06-05T00:00:00Z"/>
        <d v="2023-05-29T00:00:00Z"/>
        <d v="2023-05-22T00:00:00Z"/>
        <d v="2023-05-15T00:00:00Z"/>
        <d v="2023-05-08T00:00:00Z"/>
        <d v="2023-05-01T00:00:00Z"/>
        <d v="2023-04-24T00:00:00Z"/>
        <d v="2023-04-17T00:00:00Z"/>
        <d v="2023-04-10T00:00:00Z"/>
        <d v="2023-04-03T00:00:00Z"/>
        <d v="2023-03-27T00:00:00Z"/>
        <d v="2023-03-20T00:00:00Z"/>
        <d v="2023-03-13T00:00:00Z"/>
        <d v="2023-03-06T00:00:00Z"/>
        <d v="2023-02-27T00:00:00Z"/>
        <d v="2023-02-20T00:00:00Z"/>
        <d v="2023-02-13T00:00:00Z"/>
        <d v="2023-02-06T00:00:00Z"/>
        <d v="2023-01-30T00:00:00Z"/>
        <d v="2023-01-23T00:00:00Z"/>
        <d v="2023-01-16T00:00:00Z"/>
        <d v="2023-01-09T00:00:00Z"/>
        <d v="2023-01-02T00:00:00Z"/>
        <d v="2022-12-26T00:00:00Z"/>
        <d v="2022-12-19T00:00:00Z"/>
        <d v="2022-12-12T00:00:00Z"/>
        <d v="2022-12-05T00:00:00Z"/>
        <d v="2022-11-28T00:00:00Z"/>
        <d v="2022-11-21T00:00:00Z"/>
        <d v="2022-11-14T00:00:00Z"/>
        <d v="2022-11-07T00:00:00Z"/>
        <d v="2022-10-31T00:00:00Z"/>
        <d v="2022-10-24T00:00:00Z"/>
        <d v="2022-10-17T00:00:00Z"/>
        <d v="2022-10-10T00:00:00Z"/>
        <d v="2022-10-03T00:00:00Z"/>
        <d v="2022-09-26T00:00:00Z"/>
        <d v="2022-09-19T00:00:00Z"/>
        <d v="2022-09-12T00:00:00Z"/>
        <d v="2022-09-05T00:00:00Z"/>
        <d v="2022-08-29T00:00:00Z"/>
        <d v="2022-08-22T00:00:00Z"/>
        <d v="2022-08-15T00:00:00Z"/>
        <d v="2022-08-08T00:00:00Z"/>
        <d v="2022-08-01T00:00:00Z"/>
        <d v="2022-07-25T00:00:00Z"/>
        <d v="2022-07-18T00:00:00Z"/>
        <d v="2022-07-11T00:00:00Z"/>
        <d v="2022-07-04T00:00:00Z"/>
        <d v="2022-06-27T00:00:00Z"/>
        <d v="2022-06-20T00:00:00Z"/>
        <d v="2022-06-13T00:00:00Z"/>
        <d v="2022-06-06T00:00:00Z"/>
        <d v="2022-05-30T00:00:00Z"/>
        <d v="2022-05-23T00:00:00Z"/>
        <d v="2022-05-16T00:00:00Z"/>
        <d v="2022-05-09T00:00:00Z"/>
        <d v="2022-05-02T00:00:00Z"/>
        <d v="2022-04-25T00:00:00Z"/>
        <d v="2022-04-18T00:00:00Z"/>
        <d v="2022-04-11T00:00:00Z"/>
        <d v="2022-04-04T00:00:00Z"/>
        <d v="2022-03-28T00:00:00Z"/>
        <d v="2022-03-21T00:00:00Z"/>
        <d v="2022-03-14T00:00:00Z"/>
        <d v="2022-03-07T00:00:00Z"/>
        <d v="2022-02-28T00:00:00Z"/>
        <d v="2022-02-14T00:00:00Z"/>
        <d v="2022-02-07T00:00:00Z"/>
        <d v="2022-01-31T00:00:00Z"/>
        <d v="2022-01-24T00:00:00Z"/>
        <d v="2022-01-17T00:00:00Z"/>
        <d v="2022-01-10T00:00:00Z"/>
        <d v="2022-01-03T00:00:00Z"/>
        <d v="2021-12-27T00:00:00Z"/>
        <d v="2021-12-20T00:00:00Z"/>
        <d v="2021-12-13T00:00:00Z"/>
        <d v="2021-12-06T00:00:00Z"/>
        <d v="2021-11-29T00:00:00Z"/>
        <d v="2021-11-15T00:00:00Z"/>
        <d v="2021-11-08T00:00:00Z"/>
        <d v="2021-10-25T00:00:00Z"/>
        <d v="2021-10-18T00:00:00Z"/>
        <d v="2021-10-11T00:00:00Z"/>
        <d v="2021-10-04T00:00:00Z"/>
      </sharedItems>
    </cacheField>
    <cacheField name="Content Type" numFmtId="0">
      <sharedItems>
        <s v="Beginner Trading Education"/>
        <s v="Platform / Groww Feature Tutorial"/>
        <s v="Options Strategy Education"/>
        <s v="Algo Trading / API Tutorial"/>
        <s v="General Trading Education"/>
        <s v="Technical Analysis / Chart Patterns"/>
        <s v="Trading Psychology / Risk Management"/>
        <s v="Expert Interview / Trading Insights"/>
        <s v="Commodity Trading Education"/>
        <s v="Index Option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Weekly KPIs" cacheId="0" dataCaption="" compact="0" compactData="0">
  <location ref="A1:D212" firstHeaderRow="0" firstDataRow="2" firstDataCol="0"/>
  <pivotFields>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t="default"/>
      </items>
    </pivotField>
    <pivotField name="Publishe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t="default"/>
      </items>
    </pivotField>
    <pivotField name="Duration"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View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t="default"/>
      </items>
    </pivotField>
    <pivotField name="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Thumbnail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Engagement Rate %"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Duration Minu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Week Start Date" axis="axisRow" compact="0" numFmtId="165" outline="0" multipleItemSelectionAllowed="1" showAll="0" sortType="ascending">
      <items>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ame="Content Type" compact="0" outline="0" multipleItemSelectionAllowed="1" showAll="0">
      <items>
        <item x="0"/>
        <item x="1"/>
        <item x="2"/>
        <item x="3"/>
        <item x="4"/>
        <item x="5"/>
        <item x="6"/>
        <item x="7"/>
        <item x="8"/>
        <item x="9"/>
        <item t="default"/>
      </items>
    </pivotField>
  </pivotFields>
  <rowFields>
    <field x="12"/>
  </rowFields>
  <colFields>
    <field x="-2"/>
  </colFields>
  <dataFields>
    <dataField name="Total Views" fld="6" baseField="0"/>
    <dataField name="Videos Posted&#10;" fld="0" subtotal="count" baseField="0"/>
    <dataField name="Avg Engagement %&#10;" fld="10" subtotal="average" baseField="0"/>
  </dataFields>
</pivotTableDefinition>
</file>

<file path=xl/pivotTables/pivotTable2.xml><?xml version="1.0" encoding="utf-8"?>
<pivotTableDefinition xmlns="http://schemas.openxmlformats.org/spreadsheetml/2006/main" name="Content Performance" cacheId="0" dataCaption="" compact="0" compactData="0">
  <location ref="A1:D12" firstHeaderRow="0" firstDataRow="2" firstDataCol="0"/>
  <pivotFields>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t="default"/>
      </items>
    </pivotField>
    <pivotField name="Published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t="default"/>
      </items>
    </pivotField>
    <pivotField name="Duration" compact="0" numFmtId="2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View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t="default"/>
      </items>
    </pivotField>
    <pivotField name="Lik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Thumbnail 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t="default"/>
      </items>
    </pivotField>
    <pivotField name="Engagement Rate %"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name="Duration Minut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t="default"/>
      </items>
    </pivotField>
    <pivotField name="Week Start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Content Type"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s>
  <rowFields>
    <field x="13"/>
  </rowFields>
  <colFields>
    <field x="-2"/>
  </colFields>
  <dataFields>
    <dataField name="Avg Views" fld="6" subtotal="average" baseField="0"/>
    <dataField name="Avg Engagement %" fld="10" subtotal="average" baseField="0"/>
    <dataField name="Video Count"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ytimg.com/vi/GP0zpFZk7Sw/hqdefault.jpg" TargetMode="External"/><Relationship Id="rId194" Type="http://schemas.openxmlformats.org/officeDocument/2006/relationships/hyperlink" Target="https://i.ytimg.com/vi/q3iOD1yem04/hqdefault.jpg" TargetMode="External"/><Relationship Id="rId193" Type="http://schemas.openxmlformats.org/officeDocument/2006/relationships/hyperlink" Target="https://www.youtube.com/watch?v=q3iOD1yem04" TargetMode="External"/><Relationship Id="rId192" Type="http://schemas.openxmlformats.org/officeDocument/2006/relationships/hyperlink" Target="https://i.ytimg.com/vi/kisztCOoq7g/hqdefault.jpg" TargetMode="External"/><Relationship Id="rId191" Type="http://schemas.openxmlformats.org/officeDocument/2006/relationships/hyperlink" Target="https://www.youtube.com/watch?v=kisztCOoq7g" TargetMode="External"/><Relationship Id="rId187" Type="http://schemas.openxmlformats.org/officeDocument/2006/relationships/hyperlink" Target="https://www.youtube.com/watch?v=O9bUjAaLygY" TargetMode="External"/><Relationship Id="rId186" Type="http://schemas.openxmlformats.org/officeDocument/2006/relationships/hyperlink" Target="https://i.ytimg.com/vi/5RKpukhayDM/hqdefault.jpg" TargetMode="External"/><Relationship Id="rId185" Type="http://schemas.openxmlformats.org/officeDocument/2006/relationships/hyperlink" Target="https://www.youtube.com/watch?v=5RKpukhayDM" TargetMode="External"/><Relationship Id="rId184" Type="http://schemas.openxmlformats.org/officeDocument/2006/relationships/hyperlink" Target="https://i.ytimg.com/vi/GHVc0pRgjXQ/hqdefault.jpg" TargetMode="External"/><Relationship Id="rId189" Type="http://schemas.openxmlformats.org/officeDocument/2006/relationships/hyperlink" Target="https://www.youtube.com/watch?v=GP0zpFZk7Sw" TargetMode="External"/><Relationship Id="rId188" Type="http://schemas.openxmlformats.org/officeDocument/2006/relationships/hyperlink" Target="https://i.ytimg.com/vi/O9bUjAaLygY/hqdefault.jpg" TargetMode="External"/><Relationship Id="rId183" Type="http://schemas.openxmlformats.org/officeDocument/2006/relationships/hyperlink" Target="https://www.youtube.com/watch?v=GHVc0pRgjXQ" TargetMode="External"/><Relationship Id="rId182" Type="http://schemas.openxmlformats.org/officeDocument/2006/relationships/hyperlink" Target="https://i.ytimg.com/vi/mRQBZVPK660/hqdefault.jpg" TargetMode="External"/><Relationship Id="rId181" Type="http://schemas.openxmlformats.org/officeDocument/2006/relationships/hyperlink" Target="https://www.youtube.com/watch?v=mRQBZVPK660" TargetMode="External"/><Relationship Id="rId180" Type="http://schemas.openxmlformats.org/officeDocument/2006/relationships/hyperlink" Target="https://i.ytimg.com/vi/rjl5aF6kESM/hqdefault.jpg" TargetMode="External"/><Relationship Id="rId176" Type="http://schemas.openxmlformats.org/officeDocument/2006/relationships/hyperlink" Target="https://i.ytimg.com/vi/b8jDVM1CQD8/hqdefault.jpg" TargetMode="External"/><Relationship Id="rId175" Type="http://schemas.openxmlformats.org/officeDocument/2006/relationships/hyperlink" Target="https://www.youtube.com/watch?v=b8jDVM1CQD8" TargetMode="External"/><Relationship Id="rId174" Type="http://schemas.openxmlformats.org/officeDocument/2006/relationships/hyperlink" Target="https://i.ytimg.com/vi/gP6ZGj90hgo/hqdefault.jpg" TargetMode="External"/><Relationship Id="rId173" Type="http://schemas.openxmlformats.org/officeDocument/2006/relationships/hyperlink" Target="https://www.youtube.com/watch?v=gP6ZGj90hgo" TargetMode="External"/><Relationship Id="rId179" Type="http://schemas.openxmlformats.org/officeDocument/2006/relationships/hyperlink" Target="https://www.youtube.com/watch?v=rjl5aF6kESM" TargetMode="External"/><Relationship Id="rId178" Type="http://schemas.openxmlformats.org/officeDocument/2006/relationships/hyperlink" Target="https://i.ytimg.com/vi/yulWi_0y5A4/hqdefault.jpg" TargetMode="External"/><Relationship Id="rId177" Type="http://schemas.openxmlformats.org/officeDocument/2006/relationships/hyperlink" Target="https://www.youtube.com/watch?v=yulWi_0y5A4" TargetMode="External"/><Relationship Id="rId198" Type="http://schemas.openxmlformats.org/officeDocument/2006/relationships/hyperlink" Target="https://i.ytimg.com/vi/iOMGQnFxBQo/hqdefault.jpg" TargetMode="External"/><Relationship Id="rId197" Type="http://schemas.openxmlformats.org/officeDocument/2006/relationships/hyperlink" Target="https://www.youtube.com/watch?v=iOMGQnFxBQo" TargetMode="External"/><Relationship Id="rId196" Type="http://schemas.openxmlformats.org/officeDocument/2006/relationships/hyperlink" Target="https://i.ytimg.com/vi/_JGSV_hcOVo/hqdefault.jpg" TargetMode="External"/><Relationship Id="rId195" Type="http://schemas.openxmlformats.org/officeDocument/2006/relationships/hyperlink" Target="https://www.youtube.com/watch?v=_JGSV_hcOVo" TargetMode="External"/><Relationship Id="rId199" Type="http://schemas.openxmlformats.org/officeDocument/2006/relationships/hyperlink" Target="https://www.youtube.com/watch?v=A0BGtayaX9Y" TargetMode="External"/><Relationship Id="rId150" Type="http://schemas.openxmlformats.org/officeDocument/2006/relationships/hyperlink" Target="https://i.ytimg.com/vi/Cbm2zCGczXU/hqdefault.jpg" TargetMode="External"/><Relationship Id="rId392" Type="http://schemas.openxmlformats.org/officeDocument/2006/relationships/hyperlink" Target="https://i.ytimg.com/vi/waDV4lb1qlY/hqdefault.jpg" TargetMode="External"/><Relationship Id="rId391" Type="http://schemas.openxmlformats.org/officeDocument/2006/relationships/hyperlink" Target="https://www.youtube.com/watch?v=waDV4lb1qlY" TargetMode="External"/><Relationship Id="rId390" Type="http://schemas.openxmlformats.org/officeDocument/2006/relationships/hyperlink" Target="https://i.ytimg.com/vi/3Z1aruvDe9g/hqdefault.jpg" TargetMode="External"/><Relationship Id="rId1" Type="http://schemas.openxmlformats.org/officeDocument/2006/relationships/hyperlink" Target="https://www.youtube.com/watch?v=fs3ymeu4S4o" TargetMode="External"/><Relationship Id="rId2" Type="http://schemas.openxmlformats.org/officeDocument/2006/relationships/hyperlink" Target="https://i.ytimg.com/vi/fs3ymeu4S4o/hqdefault.jpg" TargetMode="External"/><Relationship Id="rId3" Type="http://schemas.openxmlformats.org/officeDocument/2006/relationships/hyperlink" Target="https://www.youtube.com/watch?v=g0cpD5zRIv0" TargetMode="External"/><Relationship Id="rId149" Type="http://schemas.openxmlformats.org/officeDocument/2006/relationships/hyperlink" Target="https://www.youtube.com/watch?v=Cbm2zCGczXU" TargetMode="External"/><Relationship Id="rId4" Type="http://schemas.openxmlformats.org/officeDocument/2006/relationships/hyperlink" Target="https://i.ytimg.com/vi/g0cpD5zRIv0/hqdefault.jpg" TargetMode="External"/><Relationship Id="rId148" Type="http://schemas.openxmlformats.org/officeDocument/2006/relationships/hyperlink" Target="https://i.ytimg.com/vi/9N8bAMfYzTo/hqdefault.jpg" TargetMode="External"/><Relationship Id="rId1090" Type="http://schemas.openxmlformats.org/officeDocument/2006/relationships/hyperlink" Target="https://i.ytimg.com/vi/vKQanMYxvpg/hqdefault.jpg" TargetMode="External"/><Relationship Id="rId1091" Type="http://schemas.openxmlformats.org/officeDocument/2006/relationships/hyperlink" Target="https://www.youtube.com/watch?v=kzY3UWU0XxA" TargetMode="External"/><Relationship Id="rId1092" Type="http://schemas.openxmlformats.org/officeDocument/2006/relationships/hyperlink" Target="https://i.ytimg.com/vi/kzY3UWU0XxA/hqdefault.jpg" TargetMode="External"/><Relationship Id="rId1093" Type="http://schemas.openxmlformats.org/officeDocument/2006/relationships/hyperlink" Target="https://www.youtube.com/watch?v=Zc4J0L6Wpzc" TargetMode="External"/><Relationship Id="rId1094" Type="http://schemas.openxmlformats.org/officeDocument/2006/relationships/hyperlink" Target="https://i.ytimg.com/vi/Zc4J0L6Wpzc/hqdefault.jpg" TargetMode="External"/><Relationship Id="rId9" Type="http://schemas.openxmlformats.org/officeDocument/2006/relationships/hyperlink" Target="https://www.youtube.com/watch?v=NykmV3um238" TargetMode="External"/><Relationship Id="rId143" Type="http://schemas.openxmlformats.org/officeDocument/2006/relationships/hyperlink" Target="https://www.youtube.com/watch?v=UnA3upqGVMI" TargetMode="External"/><Relationship Id="rId385" Type="http://schemas.openxmlformats.org/officeDocument/2006/relationships/hyperlink" Target="https://www.youtube.com/watch?v=wPqEeSSf57s" TargetMode="External"/><Relationship Id="rId1095" Type="http://schemas.openxmlformats.org/officeDocument/2006/relationships/hyperlink" Target="https://www.youtube.com/watch?v=dyincT4vq-Q" TargetMode="External"/><Relationship Id="rId142" Type="http://schemas.openxmlformats.org/officeDocument/2006/relationships/hyperlink" Target="https://i.ytimg.com/vi/4FXEyorIAHA/hqdefault.jpg" TargetMode="External"/><Relationship Id="rId384" Type="http://schemas.openxmlformats.org/officeDocument/2006/relationships/hyperlink" Target="https://i.ytimg.com/vi/GUFFJRmtw5M/hqdefault.jpg" TargetMode="External"/><Relationship Id="rId1096" Type="http://schemas.openxmlformats.org/officeDocument/2006/relationships/hyperlink" Target="https://i.ytimg.com/vi/dyincT4vq-Q/hqdefault.jpg" TargetMode="External"/><Relationship Id="rId141" Type="http://schemas.openxmlformats.org/officeDocument/2006/relationships/hyperlink" Target="https://www.youtube.com/watch?v=4FXEyorIAHA" TargetMode="External"/><Relationship Id="rId383" Type="http://schemas.openxmlformats.org/officeDocument/2006/relationships/hyperlink" Target="https://www.youtube.com/watch?v=GUFFJRmtw5M" TargetMode="External"/><Relationship Id="rId1097" Type="http://schemas.openxmlformats.org/officeDocument/2006/relationships/hyperlink" Target="https://www.youtube.com/watch?v=vuCcdU33saY" TargetMode="External"/><Relationship Id="rId140" Type="http://schemas.openxmlformats.org/officeDocument/2006/relationships/hyperlink" Target="https://i.ytimg.com/vi/EEw2wU8Gyl0/hqdefault.jpg" TargetMode="External"/><Relationship Id="rId382" Type="http://schemas.openxmlformats.org/officeDocument/2006/relationships/hyperlink" Target="https://i.ytimg.com/vi/vKapxhZCRUk/hqdefault.jpg" TargetMode="External"/><Relationship Id="rId1098" Type="http://schemas.openxmlformats.org/officeDocument/2006/relationships/hyperlink" Target="https://i.ytimg.com/vi/vuCcdU33saY/hqdefault.jpg" TargetMode="External"/><Relationship Id="rId5" Type="http://schemas.openxmlformats.org/officeDocument/2006/relationships/hyperlink" Target="https://www.youtube.com/watch?v=w88cFKw4ZRg" TargetMode="External"/><Relationship Id="rId147" Type="http://schemas.openxmlformats.org/officeDocument/2006/relationships/hyperlink" Target="https://www.youtube.com/watch?v=9N8bAMfYzTo" TargetMode="External"/><Relationship Id="rId389" Type="http://schemas.openxmlformats.org/officeDocument/2006/relationships/hyperlink" Target="https://www.youtube.com/watch?v=3Z1aruvDe9g" TargetMode="External"/><Relationship Id="rId1099" Type="http://schemas.openxmlformats.org/officeDocument/2006/relationships/hyperlink" Target="https://www.youtube.com/watch?v=HcDIhco07hY" TargetMode="External"/><Relationship Id="rId6" Type="http://schemas.openxmlformats.org/officeDocument/2006/relationships/hyperlink" Target="https://i.ytimg.com/vi/w88cFKw4ZRg/hqdefault.jpg" TargetMode="External"/><Relationship Id="rId146" Type="http://schemas.openxmlformats.org/officeDocument/2006/relationships/hyperlink" Target="https://i.ytimg.com/vi/qrx0yO_l9nQ/hqdefault.jpg" TargetMode="External"/><Relationship Id="rId388" Type="http://schemas.openxmlformats.org/officeDocument/2006/relationships/hyperlink" Target="https://i.ytimg.com/vi/t4HZodqK7_g/hqdefault.jpg" TargetMode="External"/><Relationship Id="rId7" Type="http://schemas.openxmlformats.org/officeDocument/2006/relationships/hyperlink" Target="https://www.youtube.com/watch?v=aEFQJPAOEsY" TargetMode="External"/><Relationship Id="rId145" Type="http://schemas.openxmlformats.org/officeDocument/2006/relationships/hyperlink" Target="https://www.youtube.com/watch?v=qrx0yO_l9nQ" TargetMode="External"/><Relationship Id="rId387" Type="http://schemas.openxmlformats.org/officeDocument/2006/relationships/hyperlink" Target="https://www.youtube.com/watch?v=t4HZodqK7_g" TargetMode="External"/><Relationship Id="rId8" Type="http://schemas.openxmlformats.org/officeDocument/2006/relationships/hyperlink" Target="https://i.ytimg.com/vi/aEFQJPAOEsY/hqdefault.jpg" TargetMode="External"/><Relationship Id="rId144" Type="http://schemas.openxmlformats.org/officeDocument/2006/relationships/hyperlink" Target="https://i.ytimg.com/vi/UnA3upqGVMI/hqdefault.jpg" TargetMode="External"/><Relationship Id="rId386" Type="http://schemas.openxmlformats.org/officeDocument/2006/relationships/hyperlink" Target="https://i.ytimg.com/vi/wPqEeSSf57s/hqdefault.jpg" TargetMode="External"/><Relationship Id="rId381" Type="http://schemas.openxmlformats.org/officeDocument/2006/relationships/hyperlink" Target="https://www.youtube.com/watch?v=vKapxhZCRUk" TargetMode="External"/><Relationship Id="rId380" Type="http://schemas.openxmlformats.org/officeDocument/2006/relationships/hyperlink" Target="https://i.ytimg.com/vi/qLgfySlqtYA/hqdefault.jpg" TargetMode="External"/><Relationship Id="rId139" Type="http://schemas.openxmlformats.org/officeDocument/2006/relationships/hyperlink" Target="https://www.youtube.com/watch?v=EEw2wU8Gyl0" TargetMode="External"/><Relationship Id="rId138" Type="http://schemas.openxmlformats.org/officeDocument/2006/relationships/hyperlink" Target="https://i.ytimg.com/vi/9u0ux6ezzpc/hqdefault.jpg" TargetMode="External"/><Relationship Id="rId137" Type="http://schemas.openxmlformats.org/officeDocument/2006/relationships/hyperlink" Target="https://www.youtube.com/watch?v=9u0ux6ezzpc" TargetMode="External"/><Relationship Id="rId379" Type="http://schemas.openxmlformats.org/officeDocument/2006/relationships/hyperlink" Target="https://www.youtube.com/watch?v=qLgfySlqtYA" TargetMode="External"/><Relationship Id="rId1080" Type="http://schemas.openxmlformats.org/officeDocument/2006/relationships/hyperlink" Target="https://i.ytimg.com/vi/uuvfCdyJync/hqdefault.jpg" TargetMode="External"/><Relationship Id="rId1081" Type="http://schemas.openxmlformats.org/officeDocument/2006/relationships/hyperlink" Target="https://www.youtube.com/watch?v=hFNSsKY0y4A" TargetMode="External"/><Relationship Id="rId1082" Type="http://schemas.openxmlformats.org/officeDocument/2006/relationships/hyperlink" Target="https://i.ytimg.com/vi/hFNSsKY0y4A/hqdefault.jpg" TargetMode="External"/><Relationship Id="rId1083" Type="http://schemas.openxmlformats.org/officeDocument/2006/relationships/hyperlink" Target="https://www.youtube.com/watch?v=9qIBLvXfTRE" TargetMode="External"/><Relationship Id="rId132" Type="http://schemas.openxmlformats.org/officeDocument/2006/relationships/hyperlink" Target="https://i.ytimg.com/vi/lEN7Dxt0hu8/hqdefault.jpg" TargetMode="External"/><Relationship Id="rId374" Type="http://schemas.openxmlformats.org/officeDocument/2006/relationships/hyperlink" Target="https://i.ytimg.com/vi/QpPZvExtk7E/hqdefault.jpg" TargetMode="External"/><Relationship Id="rId1084" Type="http://schemas.openxmlformats.org/officeDocument/2006/relationships/hyperlink" Target="https://i.ytimg.com/vi/9qIBLvXfTRE/hqdefault.jpg" TargetMode="External"/><Relationship Id="rId131" Type="http://schemas.openxmlformats.org/officeDocument/2006/relationships/hyperlink" Target="https://www.youtube.com/watch?v=lEN7Dxt0hu8" TargetMode="External"/><Relationship Id="rId373" Type="http://schemas.openxmlformats.org/officeDocument/2006/relationships/hyperlink" Target="https://www.youtube.com/watch?v=QpPZvExtk7E" TargetMode="External"/><Relationship Id="rId1085" Type="http://schemas.openxmlformats.org/officeDocument/2006/relationships/hyperlink" Target="https://www.youtube.com/watch?v=MHjmuTWm3WI" TargetMode="External"/><Relationship Id="rId130" Type="http://schemas.openxmlformats.org/officeDocument/2006/relationships/hyperlink" Target="https://i.ytimg.com/vi/vKJQAN4FyMA/hqdefault.jpg" TargetMode="External"/><Relationship Id="rId372" Type="http://schemas.openxmlformats.org/officeDocument/2006/relationships/hyperlink" Target="https://i.ytimg.com/vi/6Zk2OiIpZxI/hqdefault.jpg" TargetMode="External"/><Relationship Id="rId1086" Type="http://schemas.openxmlformats.org/officeDocument/2006/relationships/hyperlink" Target="https://i.ytimg.com/vi/MHjmuTWm3WI/hqdefault.jpg" TargetMode="External"/><Relationship Id="rId371" Type="http://schemas.openxmlformats.org/officeDocument/2006/relationships/hyperlink" Target="https://www.youtube.com/watch?v=6Zk2OiIpZxI" TargetMode="External"/><Relationship Id="rId1087" Type="http://schemas.openxmlformats.org/officeDocument/2006/relationships/hyperlink" Target="https://www.youtube.com/watch?v=3yLpC7Qo2JY" TargetMode="External"/><Relationship Id="rId136" Type="http://schemas.openxmlformats.org/officeDocument/2006/relationships/hyperlink" Target="https://i.ytimg.com/vi/cqXZ008X-4s/hqdefault.jpg" TargetMode="External"/><Relationship Id="rId378" Type="http://schemas.openxmlformats.org/officeDocument/2006/relationships/hyperlink" Target="https://i.ytimg.com/vi/L0Pl2m_1phM/hqdefault.jpg" TargetMode="External"/><Relationship Id="rId1088" Type="http://schemas.openxmlformats.org/officeDocument/2006/relationships/hyperlink" Target="https://i.ytimg.com/vi/3yLpC7Qo2JY/hqdefault.jpg" TargetMode="External"/><Relationship Id="rId135" Type="http://schemas.openxmlformats.org/officeDocument/2006/relationships/hyperlink" Target="https://www.youtube.com/watch?v=cqXZ008X-4s" TargetMode="External"/><Relationship Id="rId377" Type="http://schemas.openxmlformats.org/officeDocument/2006/relationships/hyperlink" Target="https://www.youtube.com/watch?v=L0Pl2m_1phM" TargetMode="External"/><Relationship Id="rId1089" Type="http://schemas.openxmlformats.org/officeDocument/2006/relationships/hyperlink" Target="https://www.youtube.com/watch?v=vKQanMYxvpg" TargetMode="External"/><Relationship Id="rId134" Type="http://schemas.openxmlformats.org/officeDocument/2006/relationships/hyperlink" Target="https://i.ytimg.com/vi/yORQfR-X4Uo/hqdefault.jpg" TargetMode="External"/><Relationship Id="rId376" Type="http://schemas.openxmlformats.org/officeDocument/2006/relationships/hyperlink" Target="https://i.ytimg.com/vi/JlpI_Nz9WWo/hqdefault.jpg" TargetMode="External"/><Relationship Id="rId133" Type="http://schemas.openxmlformats.org/officeDocument/2006/relationships/hyperlink" Target="https://www.youtube.com/watch?v=yORQfR-X4Uo" TargetMode="External"/><Relationship Id="rId375" Type="http://schemas.openxmlformats.org/officeDocument/2006/relationships/hyperlink" Target="https://www.youtube.com/watch?v=JlpI_Nz9WWo" TargetMode="External"/><Relationship Id="rId172" Type="http://schemas.openxmlformats.org/officeDocument/2006/relationships/hyperlink" Target="https://i.ytimg.com/vi/o6Oc80s0-yc/hqdefault.jpg" TargetMode="External"/><Relationship Id="rId171" Type="http://schemas.openxmlformats.org/officeDocument/2006/relationships/hyperlink" Target="https://www.youtube.com/watch?v=o6Oc80s0-yc" TargetMode="External"/><Relationship Id="rId170" Type="http://schemas.openxmlformats.org/officeDocument/2006/relationships/hyperlink" Target="https://i.ytimg.com/vi/bqTTLp6tl70/hqdefault.jpg" TargetMode="External"/><Relationship Id="rId165" Type="http://schemas.openxmlformats.org/officeDocument/2006/relationships/hyperlink" Target="https://www.youtube.com/watch?v=ayyD4Gn8dO0" TargetMode="External"/><Relationship Id="rId164" Type="http://schemas.openxmlformats.org/officeDocument/2006/relationships/hyperlink" Target="https://i.ytimg.com/vi/W5dpld02JaQ/hqdefault.jpg" TargetMode="External"/><Relationship Id="rId163" Type="http://schemas.openxmlformats.org/officeDocument/2006/relationships/hyperlink" Target="https://www.youtube.com/watch?v=W5dpld02JaQ" TargetMode="External"/><Relationship Id="rId162" Type="http://schemas.openxmlformats.org/officeDocument/2006/relationships/hyperlink" Target="https://i.ytimg.com/vi/wLqX6oX06QU/hqdefault.jpg" TargetMode="External"/><Relationship Id="rId169" Type="http://schemas.openxmlformats.org/officeDocument/2006/relationships/hyperlink" Target="https://www.youtube.com/watch?v=bqTTLp6tl70" TargetMode="External"/><Relationship Id="rId168" Type="http://schemas.openxmlformats.org/officeDocument/2006/relationships/hyperlink" Target="https://i.ytimg.com/vi/lGhHKmHOP1A/hqdefault.jpg" TargetMode="External"/><Relationship Id="rId167" Type="http://schemas.openxmlformats.org/officeDocument/2006/relationships/hyperlink" Target="https://www.youtube.com/watch?v=lGhHKmHOP1A" TargetMode="External"/><Relationship Id="rId166" Type="http://schemas.openxmlformats.org/officeDocument/2006/relationships/hyperlink" Target="https://i.ytimg.com/vi/ayyD4Gn8dO0/hqdefault.jpg" TargetMode="External"/><Relationship Id="rId161" Type="http://schemas.openxmlformats.org/officeDocument/2006/relationships/hyperlink" Target="https://www.youtube.com/watch?v=wLqX6oX06QU" TargetMode="External"/><Relationship Id="rId160" Type="http://schemas.openxmlformats.org/officeDocument/2006/relationships/hyperlink" Target="https://i.ytimg.com/vi/1D49iAS_pgk/hqdefault.jpg" TargetMode="External"/><Relationship Id="rId159" Type="http://schemas.openxmlformats.org/officeDocument/2006/relationships/hyperlink" Target="https://www.youtube.com/watch?v=1D49iAS_pgk" TargetMode="External"/><Relationship Id="rId154" Type="http://schemas.openxmlformats.org/officeDocument/2006/relationships/hyperlink" Target="https://i.ytimg.com/vi/6_TdKtAs0vs/hqdefault.jpg" TargetMode="External"/><Relationship Id="rId396" Type="http://schemas.openxmlformats.org/officeDocument/2006/relationships/hyperlink" Target="https://i.ytimg.com/vi/THvnWpOZE8Q/hqdefault.jpg" TargetMode="External"/><Relationship Id="rId153" Type="http://schemas.openxmlformats.org/officeDocument/2006/relationships/hyperlink" Target="https://www.youtube.com/watch?v=6_TdKtAs0vs" TargetMode="External"/><Relationship Id="rId395" Type="http://schemas.openxmlformats.org/officeDocument/2006/relationships/hyperlink" Target="https://www.youtube.com/watch?v=THvnWpOZE8Q" TargetMode="External"/><Relationship Id="rId152" Type="http://schemas.openxmlformats.org/officeDocument/2006/relationships/hyperlink" Target="https://i.ytimg.com/vi/-SQixn7dBsI/hqdefault.jpg" TargetMode="External"/><Relationship Id="rId394" Type="http://schemas.openxmlformats.org/officeDocument/2006/relationships/hyperlink" Target="https://i.ytimg.com/vi/mNuEHJNcHC8/hqdefault.jpg" TargetMode="External"/><Relationship Id="rId151" Type="http://schemas.openxmlformats.org/officeDocument/2006/relationships/hyperlink" Target="https://www.youtube.com/watch?v=-SQixn7dBsI" TargetMode="External"/><Relationship Id="rId393" Type="http://schemas.openxmlformats.org/officeDocument/2006/relationships/hyperlink" Target="https://www.youtube.com/watch?v=mNuEHJNcHC8" TargetMode="External"/><Relationship Id="rId158" Type="http://schemas.openxmlformats.org/officeDocument/2006/relationships/hyperlink" Target="https://i.ytimg.com/vi/MWSll2gn764/hqdefault.jpg" TargetMode="External"/><Relationship Id="rId157" Type="http://schemas.openxmlformats.org/officeDocument/2006/relationships/hyperlink" Target="https://www.youtube.com/watch?v=MWSll2gn764" TargetMode="External"/><Relationship Id="rId399" Type="http://schemas.openxmlformats.org/officeDocument/2006/relationships/hyperlink" Target="https://www.youtube.com/watch?v=XmRHFN1MbmU" TargetMode="External"/><Relationship Id="rId156" Type="http://schemas.openxmlformats.org/officeDocument/2006/relationships/hyperlink" Target="https://i.ytimg.com/vi/WxNgfTxCyw0/hqdefault.jpg" TargetMode="External"/><Relationship Id="rId398" Type="http://schemas.openxmlformats.org/officeDocument/2006/relationships/hyperlink" Target="https://i.ytimg.com/vi/cqVp4vbPR7Y/hqdefault.jpg" TargetMode="External"/><Relationship Id="rId155" Type="http://schemas.openxmlformats.org/officeDocument/2006/relationships/hyperlink" Target="https://www.youtube.com/watch?v=WxNgfTxCyw0" TargetMode="External"/><Relationship Id="rId397" Type="http://schemas.openxmlformats.org/officeDocument/2006/relationships/hyperlink" Target="https://www.youtube.com/watch?v=cqVp4vbPR7Y" TargetMode="External"/><Relationship Id="rId808" Type="http://schemas.openxmlformats.org/officeDocument/2006/relationships/hyperlink" Target="https://i.ytimg.com/vi/JOiXKbmxRrs/hqdefault.jpg" TargetMode="External"/><Relationship Id="rId807" Type="http://schemas.openxmlformats.org/officeDocument/2006/relationships/hyperlink" Target="https://www.youtube.com/watch?v=JOiXKbmxRrs" TargetMode="External"/><Relationship Id="rId806" Type="http://schemas.openxmlformats.org/officeDocument/2006/relationships/hyperlink" Target="https://i.ytimg.com/vi/vvUBFxQUa1U/hqdefault.jpg" TargetMode="External"/><Relationship Id="rId805" Type="http://schemas.openxmlformats.org/officeDocument/2006/relationships/hyperlink" Target="https://www.youtube.com/watch?v=vvUBFxQUa1U" TargetMode="External"/><Relationship Id="rId809" Type="http://schemas.openxmlformats.org/officeDocument/2006/relationships/hyperlink" Target="https://www.youtube.com/watch?v=SPqLuRZNsRM" TargetMode="External"/><Relationship Id="rId800" Type="http://schemas.openxmlformats.org/officeDocument/2006/relationships/hyperlink" Target="https://i.ytimg.com/vi/29y1cRiluRo/hqdefault.jpg" TargetMode="External"/><Relationship Id="rId804" Type="http://schemas.openxmlformats.org/officeDocument/2006/relationships/hyperlink" Target="https://i.ytimg.com/vi/JKT4LEKoVBg/hqdefault.jpg" TargetMode="External"/><Relationship Id="rId803" Type="http://schemas.openxmlformats.org/officeDocument/2006/relationships/hyperlink" Target="https://www.youtube.com/watch?v=JKT4LEKoVBg" TargetMode="External"/><Relationship Id="rId802" Type="http://schemas.openxmlformats.org/officeDocument/2006/relationships/hyperlink" Target="https://i.ytimg.com/vi/FN3Yhlvzdf8/hqdefault.jpg" TargetMode="External"/><Relationship Id="rId801" Type="http://schemas.openxmlformats.org/officeDocument/2006/relationships/hyperlink" Target="https://www.youtube.com/watch?v=FN3Yhlvzdf8" TargetMode="External"/><Relationship Id="rId40" Type="http://schemas.openxmlformats.org/officeDocument/2006/relationships/hyperlink" Target="https://i.ytimg.com/vi/Sbrny5XDIkI/hqdefault.jpg" TargetMode="External"/><Relationship Id="rId42" Type="http://schemas.openxmlformats.org/officeDocument/2006/relationships/hyperlink" Target="https://i.ytimg.com/vi/EBVgY2QhaZU/hqdefault.jpg" TargetMode="External"/><Relationship Id="rId41" Type="http://schemas.openxmlformats.org/officeDocument/2006/relationships/hyperlink" Target="https://www.youtube.com/watch?v=EBVgY2QhaZU" TargetMode="External"/><Relationship Id="rId44" Type="http://schemas.openxmlformats.org/officeDocument/2006/relationships/hyperlink" Target="https://i.ytimg.com/vi/lYc32tH-yoA/hqdefault.jpg" TargetMode="External"/><Relationship Id="rId43" Type="http://schemas.openxmlformats.org/officeDocument/2006/relationships/hyperlink" Target="https://www.youtube.com/watch?v=lYc32tH-yoA" TargetMode="External"/><Relationship Id="rId46" Type="http://schemas.openxmlformats.org/officeDocument/2006/relationships/hyperlink" Target="https://i.ytimg.com/vi/Zs0JLjy633M/hqdefault.jpg" TargetMode="External"/><Relationship Id="rId45" Type="http://schemas.openxmlformats.org/officeDocument/2006/relationships/hyperlink" Target="https://www.youtube.com/watch?v=Zs0JLjy633M" TargetMode="External"/><Relationship Id="rId509" Type="http://schemas.openxmlformats.org/officeDocument/2006/relationships/hyperlink" Target="https://www.youtube.com/watch?v=d1tHmwJ5uC4" TargetMode="External"/><Relationship Id="rId508" Type="http://schemas.openxmlformats.org/officeDocument/2006/relationships/hyperlink" Target="https://i.ytimg.com/vi/nDPNsasP58s/hqdefault.jpg" TargetMode="External"/><Relationship Id="rId503" Type="http://schemas.openxmlformats.org/officeDocument/2006/relationships/hyperlink" Target="https://www.youtube.com/watch?v=__rK6F1JeUU" TargetMode="External"/><Relationship Id="rId745" Type="http://schemas.openxmlformats.org/officeDocument/2006/relationships/hyperlink" Target="https://www.youtube.com/watch?v=wA1MoHlPUYw" TargetMode="External"/><Relationship Id="rId987" Type="http://schemas.openxmlformats.org/officeDocument/2006/relationships/hyperlink" Target="https://www.youtube.com/watch?v=sWYnEk4tDXI" TargetMode="External"/><Relationship Id="rId502" Type="http://schemas.openxmlformats.org/officeDocument/2006/relationships/hyperlink" Target="https://i.ytimg.com/vi/rqZOmC0jlkQ/hqdefault.jpg" TargetMode="External"/><Relationship Id="rId744" Type="http://schemas.openxmlformats.org/officeDocument/2006/relationships/hyperlink" Target="https://i.ytimg.com/vi/58iVdN4MDzI/hqdefault.jpg" TargetMode="External"/><Relationship Id="rId986" Type="http://schemas.openxmlformats.org/officeDocument/2006/relationships/hyperlink" Target="https://i.ytimg.com/vi/L5u-aiaESuA/hqdefault.jpg" TargetMode="External"/><Relationship Id="rId501" Type="http://schemas.openxmlformats.org/officeDocument/2006/relationships/hyperlink" Target="https://www.youtube.com/watch?v=rqZOmC0jlkQ" TargetMode="External"/><Relationship Id="rId743" Type="http://schemas.openxmlformats.org/officeDocument/2006/relationships/hyperlink" Target="https://www.youtube.com/watch?v=58iVdN4MDzI" TargetMode="External"/><Relationship Id="rId985" Type="http://schemas.openxmlformats.org/officeDocument/2006/relationships/hyperlink" Target="https://www.youtube.com/watch?v=L5u-aiaESuA" TargetMode="External"/><Relationship Id="rId500" Type="http://schemas.openxmlformats.org/officeDocument/2006/relationships/hyperlink" Target="https://i.ytimg.com/vi/auJ6R8bVK_U/hqdefault.jpg" TargetMode="External"/><Relationship Id="rId742" Type="http://schemas.openxmlformats.org/officeDocument/2006/relationships/hyperlink" Target="https://i.ytimg.com/vi/gOiXpNly2hM/hqdefault.jpg" TargetMode="External"/><Relationship Id="rId984" Type="http://schemas.openxmlformats.org/officeDocument/2006/relationships/hyperlink" Target="https://i.ytimg.com/vi/BWCDwBbsvtk/hqdefault.jpg" TargetMode="External"/><Relationship Id="rId507" Type="http://schemas.openxmlformats.org/officeDocument/2006/relationships/hyperlink" Target="https://www.youtube.com/watch?v=nDPNsasP58s" TargetMode="External"/><Relationship Id="rId749" Type="http://schemas.openxmlformats.org/officeDocument/2006/relationships/hyperlink" Target="https://www.youtube.com/watch?v=Zyurx6vIBtw" TargetMode="External"/><Relationship Id="rId506" Type="http://schemas.openxmlformats.org/officeDocument/2006/relationships/hyperlink" Target="https://i.ytimg.com/vi/19MGlD6T7LU/hqdefault.jpg" TargetMode="External"/><Relationship Id="rId748" Type="http://schemas.openxmlformats.org/officeDocument/2006/relationships/hyperlink" Target="https://i.ytimg.com/vi/O2lpLScD2wM/hqdefault.jpg" TargetMode="External"/><Relationship Id="rId505" Type="http://schemas.openxmlformats.org/officeDocument/2006/relationships/hyperlink" Target="https://www.youtube.com/watch?v=19MGlD6T7LU" TargetMode="External"/><Relationship Id="rId747" Type="http://schemas.openxmlformats.org/officeDocument/2006/relationships/hyperlink" Target="https://www.youtube.com/watch?v=O2lpLScD2wM" TargetMode="External"/><Relationship Id="rId989" Type="http://schemas.openxmlformats.org/officeDocument/2006/relationships/hyperlink" Target="https://www.youtube.com/watch?v=bMc34ZA8Cs4" TargetMode="External"/><Relationship Id="rId504" Type="http://schemas.openxmlformats.org/officeDocument/2006/relationships/hyperlink" Target="https://i.ytimg.com/vi/__rK6F1JeUU/hqdefault.jpg" TargetMode="External"/><Relationship Id="rId746" Type="http://schemas.openxmlformats.org/officeDocument/2006/relationships/hyperlink" Target="https://i.ytimg.com/vi/wA1MoHlPUYw/hqdefault.jpg" TargetMode="External"/><Relationship Id="rId988" Type="http://schemas.openxmlformats.org/officeDocument/2006/relationships/hyperlink" Target="https://i.ytimg.com/vi/sWYnEk4tDXI/hqdefault.jpg" TargetMode="External"/><Relationship Id="rId48" Type="http://schemas.openxmlformats.org/officeDocument/2006/relationships/hyperlink" Target="https://i.ytimg.com/vi/OpVV9WydImo/hqdefault.jpg" TargetMode="External"/><Relationship Id="rId47" Type="http://schemas.openxmlformats.org/officeDocument/2006/relationships/hyperlink" Target="https://www.youtube.com/watch?v=OpVV9WydImo" TargetMode="External"/><Relationship Id="rId49" Type="http://schemas.openxmlformats.org/officeDocument/2006/relationships/hyperlink" Target="https://www.youtube.com/watch?v=X4s8pEniu2Y" TargetMode="External"/><Relationship Id="rId741" Type="http://schemas.openxmlformats.org/officeDocument/2006/relationships/hyperlink" Target="https://www.youtube.com/watch?v=gOiXpNly2hM" TargetMode="External"/><Relationship Id="rId983" Type="http://schemas.openxmlformats.org/officeDocument/2006/relationships/hyperlink" Target="https://www.youtube.com/watch?v=BWCDwBbsvtk" TargetMode="External"/><Relationship Id="rId740" Type="http://schemas.openxmlformats.org/officeDocument/2006/relationships/hyperlink" Target="https://i.ytimg.com/vi/rdVa_j_sy0w/hqdefault.jpg" TargetMode="External"/><Relationship Id="rId982" Type="http://schemas.openxmlformats.org/officeDocument/2006/relationships/hyperlink" Target="https://i.ytimg.com/vi/_5HE5ZQq_OM/hqdefault.jpg" TargetMode="External"/><Relationship Id="rId981" Type="http://schemas.openxmlformats.org/officeDocument/2006/relationships/hyperlink" Target="https://www.youtube.com/watch?v=_5HE5ZQq_OM" TargetMode="External"/><Relationship Id="rId980" Type="http://schemas.openxmlformats.org/officeDocument/2006/relationships/hyperlink" Target="https://i.ytimg.com/vi/-yUjnkxu_UU/hqdefault.jpg" TargetMode="External"/><Relationship Id="rId31" Type="http://schemas.openxmlformats.org/officeDocument/2006/relationships/hyperlink" Target="https://www.youtube.com/watch?v=k8BD2xBEvz4" TargetMode="External"/><Relationship Id="rId30" Type="http://schemas.openxmlformats.org/officeDocument/2006/relationships/hyperlink" Target="https://i.ytimg.com/vi/khIPES9yoTw/hqdefault.jpg" TargetMode="External"/><Relationship Id="rId33" Type="http://schemas.openxmlformats.org/officeDocument/2006/relationships/hyperlink" Target="https://www.youtube.com/watch?v=hnYzC8FoiFA" TargetMode="External"/><Relationship Id="rId32" Type="http://schemas.openxmlformats.org/officeDocument/2006/relationships/hyperlink" Target="https://i.ytimg.com/vi/k8BD2xBEvz4/hqdefault.jpg" TargetMode="External"/><Relationship Id="rId35" Type="http://schemas.openxmlformats.org/officeDocument/2006/relationships/hyperlink" Target="https://www.youtube.com/watch?v=b-zm0a3Cvhw" TargetMode="External"/><Relationship Id="rId34" Type="http://schemas.openxmlformats.org/officeDocument/2006/relationships/hyperlink" Target="https://i.ytimg.com/vi/hnYzC8FoiFA/hqdefault.jpg" TargetMode="External"/><Relationship Id="rId739" Type="http://schemas.openxmlformats.org/officeDocument/2006/relationships/hyperlink" Target="https://www.youtube.com/watch?v=rdVa_j_sy0w" TargetMode="External"/><Relationship Id="rId734" Type="http://schemas.openxmlformats.org/officeDocument/2006/relationships/hyperlink" Target="https://i.ytimg.com/vi/dztBf1qcb_k/hqdefault.jpg" TargetMode="External"/><Relationship Id="rId976" Type="http://schemas.openxmlformats.org/officeDocument/2006/relationships/hyperlink" Target="https://i.ytimg.com/vi/WgqMCd93X0k/hqdefault.jpg" TargetMode="External"/><Relationship Id="rId733" Type="http://schemas.openxmlformats.org/officeDocument/2006/relationships/hyperlink" Target="https://www.youtube.com/watch?v=dztBf1qcb_k" TargetMode="External"/><Relationship Id="rId975" Type="http://schemas.openxmlformats.org/officeDocument/2006/relationships/hyperlink" Target="https://www.youtube.com/watch?v=WgqMCd93X0k" TargetMode="External"/><Relationship Id="rId732" Type="http://schemas.openxmlformats.org/officeDocument/2006/relationships/hyperlink" Target="https://i.ytimg.com/vi/gqRxK4BcMKE/hqdefault.jpg" TargetMode="External"/><Relationship Id="rId974" Type="http://schemas.openxmlformats.org/officeDocument/2006/relationships/hyperlink" Target="https://i.ytimg.com/vi/TV2wu1kJjq8/hqdefault.jpg" TargetMode="External"/><Relationship Id="rId731" Type="http://schemas.openxmlformats.org/officeDocument/2006/relationships/hyperlink" Target="https://www.youtube.com/watch?v=gqRxK4BcMKE" TargetMode="External"/><Relationship Id="rId973" Type="http://schemas.openxmlformats.org/officeDocument/2006/relationships/hyperlink" Target="https://www.youtube.com/watch?v=TV2wu1kJjq8" TargetMode="External"/><Relationship Id="rId738" Type="http://schemas.openxmlformats.org/officeDocument/2006/relationships/hyperlink" Target="https://i.ytimg.com/vi/2bNPu_RtBuw/hqdefault.jpg" TargetMode="External"/><Relationship Id="rId737" Type="http://schemas.openxmlformats.org/officeDocument/2006/relationships/hyperlink" Target="https://www.youtube.com/watch?v=2bNPu_RtBuw" TargetMode="External"/><Relationship Id="rId979" Type="http://schemas.openxmlformats.org/officeDocument/2006/relationships/hyperlink" Target="https://www.youtube.com/watch?v=-yUjnkxu_UU" TargetMode="External"/><Relationship Id="rId736" Type="http://schemas.openxmlformats.org/officeDocument/2006/relationships/hyperlink" Target="https://i.ytimg.com/vi/cNltvnJJsGU/hqdefault.jpg" TargetMode="External"/><Relationship Id="rId978" Type="http://schemas.openxmlformats.org/officeDocument/2006/relationships/hyperlink" Target="https://i.ytimg.com/vi/Ytevg-kl2-Y/hqdefault.jpg" TargetMode="External"/><Relationship Id="rId735" Type="http://schemas.openxmlformats.org/officeDocument/2006/relationships/hyperlink" Target="https://www.youtube.com/watch?v=cNltvnJJsGU" TargetMode="External"/><Relationship Id="rId977" Type="http://schemas.openxmlformats.org/officeDocument/2006/relationships/hyperlink" Target="https://www.youtube.com/watch?v=Ytevg-kl2-Y" TargetMode="External"/><Relationship Id="rId37" Type="http://schemas.openxmlformats.org/officeDocument/2006/relationships/hyperlink" Target="https://www.youtube.com/watch?v=rTn49xI-JYs" TargetMode="External"/><Relationship Id="rId36" Type="http://schemas.openxmlformats.org/officeDocument/2006/relationships/hyperlink" Target="https://i.ytimg.com/vi/b-zm0a3Cvhw/hqdefault.jpg" TargetMode="External"/><Relationship Id="rId39" Type="http://schemas.openxmlformats.org/officeDocument/2006/relationships/hyperlink" Target="https://www.youtube.com/watch?v=Sbrny5XDIkI" TargetMode="External"/><Relationship Id="rId38" Type="http://schemas.openxmlformats.org/officeDocument/2006/relationships/hyperlink" Target="https://i.ytimg.com/vi/rTn49xI-JYs/hqdefault.jpg" TargetMode="External"/><Relationship Id="rId730" Type="http://schemas.openxmlformats.org/officeDocument/2006/relationships/hyperlink" Target="https://i.ytimg.com/vi/SuuSKsDd2I8/hqdefault.jpg" TargetMode="External"/><Relationship Id="rId972" Type="http://schemas.openxmlformats.org/officeDocument/2006/relationships/hyperlink" Target="https://i.ytimg.com/vi/e5PdHZyaAyQ/hqdefault.jpg" TargetMode="External"/><Relationship Id="rId971" Type="http://schemas.openxmlformats.org/officeDocument/2006/relationships/hyperlink" Target="https://www.youtube.com/watch?v=e5PdHZyaAyQ" TargetMode="External"/><Relationship Id="rId970" Type="http://schemas.openxmlformats.org/officeDocument/2006/relationships/hyperlink" Target="https://i.ytimg.com/vi/iDQUjJWJWYc/hqdefault.jpg" TargetMode="External"/><Relationship Id="rId1114" Type="http://schemas.openxmlformats.org/officeDocument/2006/relationships/hyperlink" Target="https://i.ytimg.com/vi/UQrHP_BLgy8/hqdefault.jpg" TargetMode="External"/><Relationship Id="rId1115" Type="http://schemas.openxmlformats.org/officeDocument/2006/relationships/hyperlink" Target="https://www.youtube.com/watch?v=BqF9BPeexZY" TargetMode="External"/><Relationship Id="rId20" Type="http://schemas.openxmlformats.org/officeDocument/2006/relationships/hyperlink" Target="https://i.ytimg.com/vi/gJKLJUTdolU/hqdefault.jpg" TargetMode="External"/><Relationship Id="rId1116" Type="http://schemas.openxmlformats.org/officeDocument/2006/relationships/hyperlink" Target="https://i.ytimg.com/vi/BqF9BPeexZY/hqdefault.jpg" TargetMode="External"/><Relationship Id="rId1117" Type="http://schemas.openxmlformats.org/officeDocument/2006/relationships/hyperlink" Target="https://www.youtube.com/watch?v=p2vf07qbBig" TargetMode="External"/><Relationship Id="rId22" Type="http://schemas.openxmlformats.org/officeDocument/2006/relationships/hyperlink" Target="https://i.ytimg.com/vi/IqvK_labGWQ/hqdefault.jpg" TargetMode="External"/><Relationship Id="rId1118" Type="http://schemas.openxmlformats.org/officeDocument/2006/relationships/hyperlink" Target="https://i.ytimg.com/vi/p2vf07qbBig/hqdefault.jpg" TargetMode="External"/><Relationship Id="rId21" Type="http://schemas.openxmlformats.org/officeDocument/2006/relationships/hyperlink" Target="https://www.youtube.com/watch?v=IqvK_labGWQ" TargetMode="External"/><Relationship Id="rId1119" Type="http://schemas.openxmlformats.org/officeDocument/2006/relationships/hyperlink" Target="https://www.youtube.com/watch?v=IrAZsq9FsjQ" TargetMode="External"/><Relationship Id="rId24" Type="http://schemas.openxmlformats.org/officeDocument/2006/relationships/hyperlink" Target="https://i.ytimg.com/vi/mDc-yBAgaEw/hqdefault.jpg" TargetMode="External"/><Relationship Id="rId23" Type="http://schemas.openxmlformats.org/officeDocument/2006/relationships/hyperlink" Target="https://www.youtube.com/watch?v=mDc-yBAgaEw" TargetMode="External"/><Relationship Id="rId525" Type="http://schemas.openxmlformats.org/officeDocument/2006/relationships/hyperlink" Target="https://www.youtube.com/watch?v=SQD4sKy_5ec" TargetMode="External"/><Relationship Id="rId767" Type="http://schemas.openxmlformats.org/officeDocument/2006/relationships/hyperlink" Target="https://www.youtube.com/watch?v=stG7z7GTzSA" TargetMode="External"/><Relationship Id="rId524" Type="http://schemas.openxmlformats.org/officeDocument/2006/relationships/hyperlink" Target="https://i.ytimg.com/vi/ijK9CXJlKDw/hqdefault.jpg" TargetMode="External"/><Relationship Id="rId766" Type="http://schemas.openxmlformats.org/officeDocument/2006/relationships/hyperlink" Target="https://i.ytimg.com/vi/LA4xnaK61uI/hqdefault.jpg" TargetMode="External"/><Relationship Id="rId523" Type="http://schemas.openxmlformats.org/officeDocument/2006/relationships/hyperlink" Target="https://www.youtube.com/watch?v=ijK9CXJlKDw" TargetMode="External"/><Relationship Id="rId765" Type="http://schemas.openxmlformats.org/officeDocument/2006/relationships/hyperlink" Target="https://www.youtube.com/watch?v=LA4xnaK61uI" TargetMode="External"/><Relationship Id="rId522" Type="http://schemas.openxmlformats.org/officeDocument/2006/relationships/hyperlink" Target="https://i.ytimg.com/vi/tINHTSdwmVI/hqdefault.jpg" TargetMode="External"/><Relationship Id="rId764" Type="http://schemas.openxmlformats.org/officeDocument/2006/relationships/hyperlink" Target="https://i.ytimg.com/vi/nUcwCRPJkV4/hqdefault.jpg" TargetMode="External"/><Relationship Id="rId529" Type="http://schemas.openxmlformats.org/officeDocument/2006/relationships/hyperlink" Target="https://www.youtube.com/watch?v=N7zakQpR0UQ" TargetMode="External"/><Relationship Id="rId528" Type="http://schemas.openxmlformats.org/officeDocument/2006/relationships/hyperlink" Target="https://i.ytimg.com/vi/GFJNR1gTGLY/hqdefault.jpg" TargetMode="External"/><Relationship Id="rId527" Type="http://schemas.openxmlformats.org/officeDocument/2006/relationships/hyperlink" Target="https://www.youtube.com/watch?v=GFJNR1gTGLY" TargetMode="External"/><Relationship Id="rId769" Type="http://schemas.openxmlformats.org/officeDocument/2006/relationships/hyperlink" Target="https://www.youtube.com/watch?v=XxLz44wV9Yw" TargetMode="External"/><Relationship Id="rId526" Type="http://schemas.openxmlformats.org/officeDocument/2006/relationships/hyperlink" Target="https://i.ytimg.com/vi/SQD4sKy_5ec/hqdefault.jpg" TargetMode="External"/><Relationship Id="rId768" Type="http://schemas.openxmlformats.org/officeDocument/2006/relationships/hyperlink" Target="https://i.ytimg.com/vi/stG7z7GTzSA/hqdefault.jpg" TargetMode="External"/><Relationship Id="rId26" Type="http://schemas.openxmlformats.org/officeDocument/2006/relationships/hyperlink" Target="https://i.ytimg.com/vi/c0YDkmdzPc4/hqdefault.jpg" TargetMode="External"/><Relationship Id="rId25" Type="http://schemas.openxmlformats.org/officeDocument/2006/relationships/hyperlink" Target="https://www.youtube.com/watch?v=c0YDkmdzPc4" TargetMode="External"/><Relationship Id="rId28" Type="http://schemas.openxmlformats.org/officeDocument/2006/relationships/hyperlink" Target="https://i.ytimg.com/vi/k7BMZUDotVQ/hqdefault.jpg" TargetMode="External"/><Relationship Id="rId27" Type="http://schemas.openxmlformats.org/officeDocument/2006/relationships/hyperlink" Target="https://www.youtube.com/watch?v=k7BMZUDotVQ" TargetMode="External"/><Relationship Id="rId521" Type="http://schemas.openxmlformats.org/officeDocument/2006/relationships/hyperlink" Target="https://www.youtube.com/watch?v=tINHTSdwmVI" TargetMode="External"/><Relationship Id="rId763" Type="http://schemas.openxmlformats.org/officeDocument/2006/relationships/hyperlink" Target="https://www.youtube.com/watch?v=nUcwCRPJkV4" TargetMode="External"/><Relationship Id="rId1110" Type="http://schemas.openxmlformats.org/officeDocument/2006/relationships/hyperlink" Target="https://i.ytimg.com/vi/bn_gVi1HOmY/hqdefault.jpg" TargetMode="External"/><Relationship Id="rId29" Type="http://schemas.openxmlformats.org/officeDocument/2006/relationships/hyperlink" Target="https://www.youtube.com/watch?v=khIPES9yoTw" TargetMode="External"/><Relationship Id="rId520" Type="http://schemas.openxmlformats.org/officeDocument/2006/relationships/hyperlink" Target="https://i.ytimg.com/vi/8XtD1RpcKZU/hqdefault.jpg" TargetMode="External"/><Relationship Id="rId762" Type="http://schemas.openxmlformats.org/officeDocument/2006/relationships/hyperlink" Target="https://i.ytimg.com/vi/7dC-Xox0YFA/hqdefault.jpg" TargetMode="External"/><Relationship Id="rId1111" Type="http://schemas.openxmlformats.org/officeDocument/2006/relationships/hyperlink" Target="https://www.youtube.com/watch?v=XzCmYlT_MI8" TargetMode="External"/><Relationship Id="rId761" Type="http://schemas.openxmlformats.org/officeDocument/2006/relationships/hyperlink" Target="https://www.youtube.com/watch?v=7dC-Xox0YFA" TargetMode="External"/><Relationship Id="rId1112" Type="http://schemas.openxmlformats.org/officeDocument/2006/relationships/hyperlink" Target="https://i.ytimg.com/vi/XzCmYlT_MI8/hqdefault.jpg" TargetMode="External"/><Relationship Id="rId760" Type="http://schemas.openxmlformats.org/officeDocument/2006/relationships/hyperlink" Target="https://i.ytimg.com/vi/oEXdC9w_cjs/hqdefault.jpg" TargetMode="External"/><Relationship Id="rId1113" Type="http://schemas.openxmlformats.org/officeDocument/2006/relationships/hyperlink" Target="https://www.youtube.com/watch?v=UQrHP_BLgy8" TargetMode="External"/><Relationship Id="rId1103" Type="http://schemas.openxmlformats.org/officeDocument/2006/relationships/hyperlink" Target="https://www.youtube.com/watch?v=sPaSg6bLP9E" TargetMode="External"/><Relationship Id="rId1104" Type="http://schemas.openxmlformats.org/officeDocument/2006/relationships/hyperlink" Target="https://i.ytimg.com/vi/sPaSg6bLP9E/hqdefault.jpg" TargetMode="External"/><Relationship Id="rId1105" Type="http://schemas.openxmlformats.org/officeDocument/2006/relationships/hyperlink" Target="https://www.youtube.com/watch?v=l8VDtXDatJA" TargetMode="External"/><Relationship Id="rId1106" Type="http://schemas.openxmlformats.org/officeDocument/2006/relationships/hyperlink" Target="https://i.ytimg.com/vi/l8VDtXDatJA/hqdefault.jpg" TargetMode="External"/><Relationship Id="rId11" Type="http://schemas.openxmlformats.org/officeDocument/2006/relationships/hyperlink" Target="https://www.youtube.com/watch?v=ibols1RooE0" TargetMode="External"/><Relationship Id="rId1107" Type="http://schemas.openxmlformats.org/officeDocument/2006/relationships/hyperlink" Target="https://www.youtube.com/watch?v=oGOEdNrVCMo" TargetMode="External"/><Relationship Id="rId10" Type="http://schemas.openxmlformats.org/officeDocument/2006/relationships/hyperlink" Target="https://i.ytimg.com/vi/NykmV3um238/hqdefault.jpg" TargetMode="External"/><Relationship Id="rId1108" Type="http://schemas.openxmlformats.org/officeDocument/2006/relationships/hyperlink" Target="https://i.ytimg.com/vi/oGOEdNrVCMo/hqdefault.jpg" TargetMode="External"/><Relationship Id="rId13" Type="http://schemas.openxmlformats.org/officeDocument/2006/relationships/hyperlink" Target="https://www.youtube.com/watch?v=aiQvqjCcrxA" TargetMode="External"/><Relationship Id="rId1109" Type="http://schemas.openxmlformats.org/officeDocument/2006/relationships/hyperlink" Target="https://www.youtube.com/watch?v=bn_gVi1HOmY" TargetMode="External"/><Relationship Id="rId12" Type="http://schemas.openxmlformats.org/officeDocument/2006/relationships/hyperlink" Target="https://i.ytimg.com/vi/ibols1RooE0/hqdefault.jpg" TargetMode="External"/><Relationship Id="rId519" Type="http://schemas.openxmlformats.org/officeDocument/2006/relationships/hyperlink" Target="https://www.youtube.com/watch?v=8XtD1RpcKZU" TargetMode="External"/><Relationship Id="rId514" Type="http://schemas.openxmlformats.org/officeDocument/2006/relationships/hyperlink" Target="https://i.ytimg.com/vi/FsiBlZ8yIQY/hqdefault.jpg" TargetMode="External"/><Relationship Id="rId756" Type="http://schemas.openxmlformats.org/officeDocument/2006/relationships/hyperlink" Target="https://i.ytimg.com/vi/rxPqkkBZlLU/hqdefault.jpg" TargetMode="External"/><Relationship Id="rId998" Type="http://schemas.openxmlformats.org/officeDocument/2006/relationships/hyperlink" Target="https://i.ytimg.com/vi/zpLvii6WPxo/hqdefault.jpg" TargetMode="External"/><Relationship Id="rId513" Type="http://schemas.openxmlformats.org/officeDocument/2006/relationships/hyperlink" Target="https://www.youtube.com/watch?v=FsiBlZ8yIQY" TargetMode="External"/><Relationship Id="rId755" Type="http://schemas.openxmlformats.org/officeDocument/2006/relationships/hyperlink" Target="https://www.youtube.com/watch?v=rxPqkkBZlLU" TargetMode="External"/><Relationship Id="rId997" Type="http://schemas.openxmlformats.org/officeDocument/2006/relationships/hyperlink" Target="https://www.youtube.com/watch?v=zpLvii6WPxo" TargetMode="External"/><Relationship Id="rId512" Type="http://schemas.openxmlformats.org/officeDocument/2006/relationships/hyperlink" Target="https://i.ytimg.com/vi/tiEBiFZxKsk/hqdefault.jpg" TargetMode="External"/><Relationship Id="rId754" Type="http://schemas.openxmlformats.org/officeDocument/2006/relationships/hyperlink" Target="https://i.ytimg.com/vi/N2X30cyhuTk/hqdefault.jpg" TargetMode="External"/><Relationship Id="rId996" Type="http://schemas.openxmlformats.org/officeDocument/2006/relationships/hyperlink" Target="https://i.ytimg.com/vi/ggDetYPpjEo/hqdefault.jpg" TargetMode="External"/><Relationship Id="rId511" Type="http://schemas.openxmlformats.org/officeDocument/2006/relationships/hyperlink" Target="https://www.youtube.com/watch?v=tiEBiFZxKsk" TargetMode="External"/><Relationship Id="rId753" Type="http://schemas.openxmlformats.org/officeDocument/2006/relationships/hyperlink" Target="https://www.youtube.com/watch?v=N2X30cyhuTk" TargetMode="External"/><Relationship Id="rId995" Type="http://schemas.openxmlformats.org/officeDocument/2006/relationships/hyperlink" Target="https://www.youtube.com/watch?v=ggDetYPpjEo" TargetMode="External"/><Relationship Id="rId518" Type="http://schemas.openxmlformats.org/officeDocument/2006/relationships/hyperlink" Target="https://i.ytimg.com/vi/yKejpjUAk5E/hqdefault.jpg" TargetMode="External"/><Relationship Id="rId517" Type="http://schemas.openxmlformats.org/officeDocument/2006/relationships/hyperlink" Target="https://www.youtube.com/watch?v=yKejpjUAk5E" TargetMode="External"/><Relationship Id="rId759" Type="http://schemas.openxmlformats.org/officeDocument/2006/relationships/hyperlink" Target="https://www.youtube.com/watch?v=oEXdC9w_cjs" TargetMode="External"/><Relationship Id="rId516" Type="http://schemas.openxmlformats.org/officeDocument/2006/relationships/hyperlink" Target="https://i.ytimg.com/vi/XPODRrrALSc/hqdefault.jpg" TargetMode="External"/><Relationship Id="rId758" Type="http://schemas.openxmlformats.org/officeDocument/2006/relationships/hyperlink" Target="https://i.ytimg.com/vi/in3PiToXwXE/hqdefault.jpg" TargetMode="External"/><Relationship Id="rId515" Type="http://schemas.openxmlformats.org/officeDocument/2006/relationships/hyperlink" Target="https://www.youtube.com/watch?v=XPODRrrALSc" TargetMode="External"/><Relationship Id="rId757" Type="http://schemas.openxmlformats.org/officeDocument/2006/relationships/hyperlink" Target="https://www.youtube.com/watch?v=in3PiToXwXE" TargetMode="External"/><Relationship Id="rId999" Type="http://schemas.openxmlformats.org/officeDocument/2006/relationships/hyperlink" Target="https://www.youtube.com/watch?v=Xssm5v6UP-8" TargetMode="External"/><Relationship Id="rId15" Type="http://schemas.openxmlformats.org/officeDocument/2006/relationships/hyperlink" Target="https://www.youtube.com/watch?v=ybRdZNf7zHE" TargetMode="External"/><Relationship Id="rId990" Type="http://schemas.openxmlformats.org/officeDocument/2006/relationships/hyperlink" Target="https://i.ytimg.com/vi/bMc34ZA8Cs4/hqdefault.jpg" TargetMode="External"/><Relationship Id="rId14" Type="http://schemas.openxmlformats.org/officeDocument/2006/relationships/hyperlink" Target="https://i.ytimg.com/vi/aiQvqjCcrxA/hqdefault.jpg" TargetMode="External"/><Relationship Id="rId17" Type="http://schemas.openxmlformats.org/officeDocument/2006/relationships/hyperlink" Target="https://www.youtube.com/watch?v=fcOl7-Py1xI" TargetMode="External"/><Relationship Id="rId16" Type="http://schemas.openxmlformats.org/officeDocument/2006/relationships/hyperlink" Target="https://i.ytimg.com/vi/ybRdZNf7zHE/hqdefault.jpg" TargetMode="External"/><Relationship Id="rId19" Type="http://schemas.openxmlformats.org/officeDocument/2006/relationships/hyperlink" Target="https://www.youtube.com/watch?v=gJKLJUTdolU" TargetMode="External"/><Relationship Id="rId510" Type="http://schemas.openxmlformats.org/officeDocument/2006/relationships/hyperlink" Target="https://i.ytimg.com/vi/d1tHmwJ5uC4/hqdefault.jpg" TargetMode="External"/><Relationship Id="rId752" Type="http://schemas.openxmlformats.org/officeDocument/2006/relationships/hyperlink" Target="https://i.ytimg.com/vi/WdnARgSgQQ0/hqdefault.jpg" TargetMode="External"/><Relationship Id="rId994" Type="http://schemas.openxmlformats.org/officeDocument/2006/relationships/hyperlink" Target="https://i.ytimg.com/vi/4R0fzyDVdLk/hqdefault.jpg" TargetMode="External"/><Relationship Id="rId18" Type="http://schemas.openxmlformats.org/officeDocument/2006/relationships/hyperlink" Target="https://i.ytimg.com/vi/fcOl7-Py1xI/hqdefault.jpg" TargetMode="External"/><Relationship Id="rId751" Type="http://schemas.openxmlformats.org/officeDocument/2006/relationships/hyperlink" Target="https://www.youtube.com/watch?v=WdnARgSgQQ0" TargetMode="External"/><Relationship Id="rId993" Type="http://schemas.openxmlformats.org/officeDocument/2006/relationships/hyperlink" Target="https://www.youtube.com/watch?v=4R0fzyDVdLk" TargetMode="External"/><Relationship Id="rId1100" Type="http://schemas.openxmlformats.org/officeDocument/2006/relationships/hyperlink" Target="https://i.ytimg.com/vi/HcDIhco07hY/hqdefault.jpg" TargetMode="External"/><Relationship Id="rId750" Type="http://schemas.openxmlformats.org/officeDocument/2006/relationships/hyperlink" Target="https://i.ytimg.com/vi/Zyurx6vIBtw/hqdefault.jpg" TargetMode="External"/><Relationship Id="rId992" Type="http://schemas.openxmlformats.org/officeDocument/2006/relationships/hyperlink" Target="https://i.ytimg.com/vi/w-3fKE1taf0/hqdefault.jpg" TargetMode="External"/><Relationship Id="rId1101" Type="http://schemas.openxmlformats.org/officeDocument/2006/relationships/hyperlink" Target="https://www.youtube.com/watch?v=B6HLSq3tZ6A" TargetMode="External"/><Relationship Id="rId991" Type="http://schemas.openxmlformats.org/officeDocument/2006/relationships/hyperlink" Target="https://www.youtube.com/watch?v=w-3fKE1taf0" TargetMode="External"/><Relationship Id="rId1102" Type="http://schemas.openxmlformats.org/officeDocument/2006/relationships/hyperlink" Target="https://i.ytimg.com/vi/B6HLSq3tZ6A/hqdefault.jpg" TargetMode="External"/><Relationship Id="rId84" Type="http://schemas.openxmlformats.org/officeDocument/2006/relationships/hyperlink" Target="https://i.ytimg.com/vi/0f057xsM2kQ/hqdefault.jpg" TargetMode="External"/><Relationship Id="rId83" Type="http://schemas.openxmlformats.org/officeDocument/2006/relationships/hyperlink" Target="https://www.youtube.com/watch?v=0f057xsM2kQ" TargetMode="External"/><Relationship Id="rId86" Type="http://schemas.openxmlformats.org/officeDocument/2006/relationships/hyperlink" Target="https://i.ytimg.com/vi/JiMp4B_HXbA/hqdefault.jpg" TargetMode="External"/><Relationship Id="rId85" Type="http://schemas.openxmlformats.org/officeDocument/2006/relationships/hyperlink" Target="https://www.youtube.com/watch?v=JiMp4B_HXbA" TargetMode="External"/><Relationship Id="rId88" Type="http://schemas.openxmlformats.org/officeDocument/2006/relationships/hyperlink" Target="https://i.ytimg.com/vi/vV-vVs6pyr0/hqdefault.jpg" TargetMode="External"/><Relationship Id="rId87" Type="http://schemas.openxmlformats.org/officeDocument/2006/relationships/hyperlink" Target="https://www.youtube.com/watch?v=vV-vVs6pyr0" TargetMode="External"/><Relationship Id="rId89" Type="http://schemas.openxmlformats.org/officeDocument/2006/relationships/hyperlink" Target="https://www.youtube.com/watch?v=KKb60wveIb0" TargetMode="External"/><Relationship Id="rId709" Type="http://schemas.openxmlformats.org/officeDocument/2006/relationships/hyperlink" Target="https://www.youtube.com/watch?v=5kUY3rmGSzc" TargetMode="External"/><Relationship Id="rId708" Type="http://schemas.openxmlformats.org/officeDocument/2006/relationships/hyperlink" Target="https://i.ytimg.com/vi/W58JXVDqeEU/hqdefault.jpg" TargetMode="External"/><Relationship Id="rId707" Type="http://schemas.openxmlformats.org/officeDocument/2006/relationships/hyperlink" Target="https://www.youtube.com/watch?v=W58JXVDqeEU" TargetMode="External"/><Relationship Id="rId949" Type="http://schemas.openxmlformats.org/officeDocument/2006/relationships/hyperlink" Target="https://www.youtube.com/watch?v=dW78olRrreQ" TargetMode="External"/><Relationship Id="rId706" Type="http://schemas.openxmlformats.org/officeDocument/2006/relationships/hyperlink" Target="https://i.ytimg.com/vi/YClI9XqJALg/hqdefault.jpg" TargetMode="External"/><Relationship Id="rId948" Type="http://schemas.openxmlformats.org/officeDocument/2006/relationships/hyperlink" Target="https://i.ytimg.com/vi/v6sxePWDhR4/hqdefault.jpg" TargetMode="External"/><Relationship Id="rId80" Type="http://schemas.openxmlformats.org/officeDocument/2006/relationships/hyperlink" Target="https://i.ytimg.com/vi/64csqupvpGs/hqdefault.jpg" TargetMode="External"/><Relationship Id="rId82" Type="http://schemas.openxmlformats.org/officeDocument/2006/relationships/hyperlink" Target="https://i.ytimg.com/vi/td3srID3mRE/hqdefault.jpg" TargetMode="External"/><Relationship Id="rId81" Type="http://schemas.openxmlformats.org/officeDocument/2006/relationships/hyperlink" Target="https://www.youtube.com/watch?v=td3srID3mRE" TargetMode="External"/><Relationship Id="rId701" Type="http://schemas.openxmlformats.org/officeDocument/2006/relationships/hyperlink" Target="https://www.youtube.com/watch?v=AlFXQvlzLUg" TargetMode="External"/><Relationship Id="rId943" Type="http://schemas.openxmlformats.org/officeDocument/2006/relationships/hyperlink" Target="https://www.youtube.com/watch?v=BRzUwtmWS4w" TargetMode="External"/><Relationship Id="rId700" Type="http://schemas.openxmlformats.org/officeDocument/2006/relationships/hyperlink" Target="https://i.ytimg.com/vi/MtIJZTFrmf8/hqdefault.jpg" TargetMode="External"/><Relationship Id="rId942" Type="http://schemas.openxmlformats.org/officeDocument/2006/relationships/hyperlink" Target="https://i.ytimg.com/vi/9pzwxxs8IQc/hqdefault.jpg" TargetMode="External"/><Relationship Id="rId941" Type="http://schemas.openxmlformats.org/officeDocument/2006/relationships/hyperlink" Target="https://www.youtube.com/watch?v=9pzwxxs8IQc" TargetMode="External"/><Relationship Id="rId940" Type="http://schemas.openxmlformats.org/officeDocument/2006/relationships/hyperlink" Target="https://i.ytimg.com/vi/BxgmoqKcFWM/hqdefault.jpg" TargetMode="External"/><Relationship Id="rId705" Type="http://schemas.openxmlformats.org/officeDocument/2006/relationships/hyperlink" Target="https://www.youtube.com/watch?v=YClI9XqJALg" TargetMode="External"/><Relationship Id="rId947" Type="http://schemas.openxmlformats.org/officeDocument/2006/relationships/hyperlink" Target="https://www.youtube.com/watch?v=v6sxePWDhR4" TargetMode="External"/><Relationship Id="rId704" Type="http://schemas.openxmlformats.org/officeDocument/2006/relationships/hyperlink" Target="https://i.ytimg.com/vi/B5lZ-B05f88/hqdefault.jpg" TargetMode="External"/><Relationship Id="rId946" Type="http://schemas.openxmlformats.org/officeDocument/2006/relationships/hyperlink" Target="https://i.ytimg.com/vi/UWC0PW7vEAg/hqdefault.jpg" TargetMode="External"/><Relationship Id="rId703" Type="http://schemas.openxmlformats.org/officeDocument/2006/relationships/hyperlink" Target="https://www.youtube.com/watch?v=B5lZ-B05f88" TargetMode="External"/><Relationship Id="rId945" Type="http://schemas.openxmlformats.org/officeDocument/2006/relationships/hyperlink" Target="https://www.youtube.com/watch?v=UWC0PW7vEAg" TargetMode="External"/><Relationship Id="rId702" Type="http://schemas.openxmlformats.org/officeDocument/2006/relationships/hyperlink" Target="https://i.ytimg.com/vi/AlFXQvlzLUg/hqdefault.jpg" TargetMode="External"/><Relationship Id="rId944" Type="http://schemas.openxmlformats.org/officeDocument/2006/relationships/hyperlink" Target="https://i.ytimg.com/vi/BRzUwtmWS4w/hqdefault.jpg" TargetMode="External"/><Relationship Id="rId73" Type="http://schemas.openxmlformats.org/officeDocument/2006/relationships/hyperlink" Target="https://www.youtube.com/watch?v=rYzKmlLJJ90" TargetMode="External"/><Relationship Id="rId72" Type="http://schemas.openxmlformats.org/officeDocument/2006/relationships/hyperlink" Target="https://i.ytimg.com/vi/Mch7O7n2kqc/hqdefault.jpg" TargetMode="External"/><Relationship Id="rId75" Type="http://schemas.openxmlformats.org/officeDocument/2006/relationships/hyperlink" Target="https://www.youtube.com/watch?v=jM2XmcDJ3cs" TargetMode="External"/><Relationship Id="rId74" Type="http://schemas.openxmlformats.org/officeDocument/2006/relationships/hyperlink" Target="https://i.ytimg.com/vi/rYzKmlLJJ90/hqdefault.jpg" TargetMode="External"/><Relationship Id="rId77" Type="http://schemas.openxmlformats.org/officeDocument/2006/relationships/hyperlink" Target="https://www.youtube.com/watch?v=Vs3wSCv4gi8" TargetMode="External"/><Relationship Id="rId76" Type="http://schemas.openxmlformats.org/officeDocument/2006/relationships/hyperlink" Target="https://i.ytimg.com/vi/jM2XmcDJ3cs/hqdefault.jpg" TargetMode="External"/><Relationship Id="rId79" Type="http://schemas.openxmlformats.org/officeDocument/2006/relationships/hyperlink" Target="https://www.youtube.com/watch?v=64csqupvpGs" TargetMode="External"/><Relationship Id="rId78" Type="http://schemas.openxmlformats.org/officeDocument/2006/relationships/hyperlink" Target="https://i.ytimg.com/vi/Vs3wSCv4gi8/hqdefault.jpg" TargetMode="External"/><Relationship Id="rId939" Type="http://schemas.openxmlformats.org/officeDocument/2006/relationships/hyperlink" Target="https://www.youtube.com/watch?v=BxgmoqKcFWM" TargetMode="External"/><Relationship Id="rId938" Type="http://schemas.openxmlformats.org/officeDocument/2006/relationships/hyperlink" Target="https://i.ytimg.com/vi/9Su8zKCCKDM/hqdefault.jpg" TargetMode="External"/><Relationship Id="rId937" Type="http://schemas.openxmlformats.org/officeDocument/2006/relationships/hyperlink" Target="https://www.youtube.com/watch?v=9Su8zKCCKDM" TargetMode="External"/><Relationship Id="rId71" Type="http://schemas.openxmlformats.org/officeDocument/2006/relationships/hyperlink" Target="https://www.youtube.com/watch?v=Mch7O7n2kqc" TargetMode="External"/><Relationship Id="rId70" Type="http://schemas.openxmlformats.org/officeDocument/2006/relationships/hyperlink" Target="https://i.ytimg.com/vi/IFvYypVvHWU/hqdefault.jpg" TargetMode="External"/><Relationship Id="rId932" Type="http://schemas.openxmlformats.org/officeDocument/2006/relationships/hyperlink" Target="https://i.ytimg.com/vi/QMm4cQS9DcQ/hqdefault.jpg" TargetMode="External"/><Relationship Id="rId931" Type="http://schemas.openxmlformats.org/officeDocument/2006/relationships/hyperlink" Target="https://www.youtube.com/watch?v=QMm4cQS9DcQ" TargetMode="External"/><Relationship Id="rId930" Type="http://schemas.openxmlformats.org/officeDocument/2006/relationships/hyperlink" Target="https://i.ytimg.com/vi/UaQdmqK7SG4/hqdefault.jpg" TargetMode="External"/><Relationship Id="rId936" Type="http://schemas.openxmlformats.org/officeDocument/2006/relationships/hyperlink" Target="https://i.ytimg.com/vi/ChXClEkaL2U/hqdefault.jpg" TargetMode="External"/><Relationship Id="rId935" Type="http://schemas.openxmlformats.org/officeDocument/2006/relationships/hyperlink" Target="https://www.youtube.com/watch?v=ChXClEkaL2U" TargetMode="External"/><Relationship Id="rId934" Type="http://schemas.openxmlformats.org/officeDocument/2006/relationships/hyperlink" Target="https://i.ytimg.com/vi/dWi6WCx2moc/hqdefault.jpg" TargetMode="External"/><Relationship Id="rId933" Type="http://schemas.openxmlformats.org/officeDocument/2006/relationships/hyperlink" Target="https://www.youtube.com/watch?v=dWi6WCx2moc" TargetMode="External"/><Relationship Id="rId62" Type="http://schemas.openxmlformats.org/officeDocument/2006/relationships/hyperlink" Target="https://i.ytimg.com/vi/ymvm3XKZMUA/hqdefault.jpg" TargetMode="External"/><Relationship Id="rId61" Type="http://schemas.openxmlformats.org/officeDocument/2006/relationships/hyperlink" Target="https://www.youtube.com/watch?v=ymvm3XKZMUA" TargetMode="External"/><Relationship Id="rId64" Type="http://schemas.openxmlformats.org/officeDocument/2006/relationships/hyperlink" Target="https://i.ytimg.com/vi/sJV3H29KeS4/hqdefault.jpg" TargetMode="External"/><Relationship Id="rId63" Type="http://schemas.openxmlformats.org/officeDocument/2006/relationships/hyperlink" Target="https://www.youtube.com/watch?v=sJV3H29KeS4" TargetMode="External"/><Relationship Id="rId66" Type="http://schemas.openxmlformats.org/officeDocument/2006/relationships/hyperlink" Target="https://i.ytimg.com/vi/EbkLGDc73dQ/hqdefault.jpg" TargetMode="External"/><Relationship Id="rId65" Type="http://schemas.openxmlformats.org/officeDocument/2006/relationships/hyperlink" Target="https://www.youtube.com/watch?v=EbkLGDc73dQ" TargetMode="External"/><Relationship Id="rId68" Type="http://schemas.openxmlformats.org/officeDocument/2006/relationships/hyperlink" Target="https://i.ytimg.com/vi/sK9stIl_2GQ/hqdefault.jpg" TargetMode="External"/><Relationship Id="rId67" Type="http://schemas.openxmlformats.org/officeDocument/2006/relationships/hyperlink" Target="https://www.youtube.com/watch?v=sK9stIl_2GQ" TargetMode="External"/><Relationship Id="rId729" Type="http://schemas.openxmlformats.org/officeDocument/2006/relationships/hyperlink" Target="https://www.youtube.com/watch?v=SuuSKsDd2I8" TargetMode="External"/><Relationship Id="rId728" Type="http://schemas.openxmlformats.org/officeDocument/2006/relationships/hyperlink" Target="https://i.ytimg.com/vi/jPEUiAFpD9c/hqdefault.jpg" TargetMode="External"/><Relationship Id="rId60" Type="http://schemas.openxmlformats.org/officeDocument/2006/relationships/hyperlink" Target="https://i.ytimg.com/vi/Qlu5GxPQXdE/hqdefault.jpg" TargetMode="External"/><Relationship Id="rId723" Type="http://schemas.openxmlformats.org/officeDocument/2006/relationships/hyperlink" Target="https://www.youtube.com/watch?v=nzmOmkFYHDA" TargetMode="External"/><Relationship Id="rId965" Type="http://schemas.openxmlformats.org/officeDocument/2006/relationships/hyperlink" Target="https://www.youtube.com/watch?v=4iBNHKGd4mU" TargetMode="External"/><Relationship Id="rId722" Type="http://schemas.openxmlformats.org/officeDocument/2006/relationships/hyperlink" Target="https://i.ytimg.com/vi/AFf0wjiREkw/hqdefault.jpg" TargetMode="External"/><Relationship Id="rId964" Type="http://schemas.openxmlformats.org/officeDocument/2006/relationships/hyperlink" Target="https://i.ytimg.com/vi/g2QDMqKORhA/hqdefault.jpg" TargetMode="External"/><Relationship Id="rId721" Type="http://schemas.openxmlformats.org/officeDocument/2006/relationships/hyperlink" Target="https://www.youtube.com/watch?v=AFf0wjiREkw" TargetMode="External"/><Relationship Id="rId963" Type="http://schemas.openxmlformats.org/officeDocument/2006/relationships/hyperlink" Target="https://www.youtube.com/watch?v=g2QDMqKORhA" TargetMode="External"/><Relationship Id="rId720" Type="http://schemas.openxmlformats.org/officeDocument/2006/relationships/hyperlink" Target="https://i.ytimg.com/vi/KO2pX_J1-Ww/hqdefault.jpg" TargetMode="External"/><Relationship Id="rId962" Type="http://schemas.openxmlformats.org/officeDocument/2006/relationships/hyperlink" Target="https://i.ytimg.com/vi/P66EsXw8xiY/hqdefault.jpg" TargetMode="External"/><Relationship Id="rId727" Type="http://schemas.openxmlformats.org/officeDocument/2006/relationships/hyperlink" Target="https://www.youtube.com/watch?v=jPEUiAFpD9c" TargetMode="External"/><Relationship Id="rId969" Type="http://schemas.openxmlformats.org/officeDocument/2006/relationships/hyperlink" Target="https://www.youtube.com/watch?v=iDQUjJWJWYc" TargetMode="External"/><Relationship Id="rId726" Type="http://schemas.openxmlformats.org/officeDocument/2006/relationships/hyperlink" Target="https://i.ytimg.com/vi/VnDyf9Syuk4/hqdefault.jpg" TargetMode="External"/><Relationship Id="rId968" Type="http://schemas.openxmlformats.org/officeDocument/2006/relationships/hyperlink" Target="https://i.ytimg.com/vi/tvZ4y1W-HNc/hqdefault.jpg" TargetMode="External"/><Relationship Id="rId725" Type="http://schemas.openxmlformats.org/officeDocument/2006/relationships/hyperlink" Target="https://www.youtube.com/watch?v=VnDyf9Syuk4" TargetMode="External"/><Relationship Id="rId967" Type="http://schemas.openxmlformats.org/officeDocument/2006/relationships/hyperlink" Target="https://www.youtube.com/watch?v=tvZ4y1W-HNc" TargetMode="External"/><Relationship Id="rId724" Type="http://schemas.openxmlformats.org/officeDocument/2006/relationships/hyperlink" Target="https://i.ytimg.com/vi/nzmOmkFYHDA/hqdefault.jpg" TargetMode="External"/><Relationship Id="rId966" Type="http://schemas.openxmlformats.org/officeDocument/2006/relationships/hyperlink" Target="https://i.ytimg.com/vi/4iBNHKGd4mU/hqdefault.jpg" TargetMode="External"/><Relationship Id="rId69" Type="http://schemas.openxmlformats.org/officeDocument/2006/relationships/hyperlink" Target="https://www.youtube.com/watch?v=IFvYypVvHWU" TargetMode="External"/><Relationship Id="rId961" Type="http://schemas.openxmlformats.org/officeDocument/2006/relationships/hyperlink" Target="https://www.youtube.com/watch?v=P66EsXw8xiY" TargetMode="External"/><Relationship Id="rId960" Type="http://schemas.openxmlformats.org/officeDocument/2006/relationships/hyperlink" Target="https://i.ytimg.com/vi/tIXbZj3YwKM/hqdefault.jpg" TargetMode="External"/><Relationship Id="rId51" Type="http://schemas.openxmlformats.org/officeDocument/2006/relationships/hyperlink" Target="https://www.youtube.com/watch?v=8YhXikBY9HQ" TargetMode="External"/><Relationship Id="rId50" Type="http://schemas.openxmlformats.org/officeDocument/2006/relationships/hyperlink" Target="https://i.ytimg.com/vi/X4s8pEniu2Y/hqdefault.jpg" TargetMode="External"/><Relationship Id="rId53" Type="http://schemas.openxmlformats.org/officeDocument/2006/relationships/hyperlink" Target="https://www.youtube.com/watch?v=bF4GqcOHs48" TargetMode="External"/><Relationship Id="rId52" Type="http://schemas.openxmlformats.org/officeDocument/2006/relationships/hyperlink" Target="https://i.ytimg.com/vi/8YhXikBY9HQ/hqdefault.jpg" TargetMode="External"/><Relationship Id="rId55" Type="http://schemas.openxmlformats.org/officeDocument/2006/relationships/hyperlink" Target="https://www.youtube.com/watch?v=pg9m0coQQ5I" TargetMode="External"/><Relationship Id="rId54" Type="http://schemas.openxmlformats.org/officeDocument/2006/relationships/hyperlink" Target="https://i.ytimg.com/vi/bF4GqcOHs48/hqdefault.jpg" TargetMode="External"/><Relationship Id="rId57" Type="http://schemas.openxmlformats.org/officeDocument/2006/relationships/hyperlink" Target="https://www.youtube.com/watch?v=QR4withfuvw" TargetMode="External"/><Relationship Id="rId56" Type="http://schemas.openxmlformats.org/officeDocument/2006/relationships/hyperlink" Target="https://i.ytimg.com/vi/pg9m0coQQ5I/hqdefault.jpg" TargetMode="External"/><Relationship Id="rId719" Type="http://schemas.openxmlformats.org/officeDocument/2006/relationships/hyperlink" Target="https://www.youtube.com/watch?v=KO2pX_J1-Ww" TargetMode="External"/><Relationship Id="rId718" Type="http://schemas.openxmlformats.org/officeDocument/2006/relationships/hyperlink" Target="https://i.ytimg.com/vi/0gNgYpnOLes/hqdefault.jpg" TargetMode="External"/><Relationship Id="rId717" Type="http://schemas.openxmlformats.org/officeDocument/2006/relationships/hyperlink" Target="https://www.youtube.com/watch?v=0gNgYpnOLes" TargetMode="External"/><Relationship Id="rId959" Type="http://schemas.openxmlformats.org/officeDocument/2006/relationships/hyperlink" Target="https://www.youtube.com/watch?v=tIXbZj3YwKM" TargetMode="External"/><Relationship Id="rId712" Type="http://schemas.openxmlformats.org/officeDocument/2006/relationships/hyperlink" Target="https://i.ytimg.com/vi/cps7sgxZc6c/hqdefault.jpg" TargetMode="External"/><Relationship Id="rId954" Type="http://schemas.openxmlformats.org/officeDocument/2006/relationships/hyperlink" Target="https://i.ytimg.com/vi/yAsO_jBfplI/hqdefault.jpg" TargetMode="External"/><Relationship Id="rId711" Type="http://schemas.openxmlformats.org/officeDocument/2006/relationships/hyperlink" Target="https://www.youtube.com/watch?v=cps7sgxZc6c" TargetMode="External"/><Relationship Id="rId953" Type="http://schemas.openxmlformats.org/officeDocument/2006/relationships/hyperlink" Target="https://www.youtube.com/watch?v=yAsO_jBfplI" TargetMode="External"/><Relationship Id="rId710" Type="http://schemas.openxmlformats.org/officeDocument/2006/relationships/hyperlink" Target="https://i.ytimg.com/vi/5kUY3rmGSzc/hqdefault.jpg" TargetMode="External"/><Relationship Id="rId952" Type="http://schemas.openxmlformats.org/officeDocument/2006/relationships/hyperlink" Target="https://i.ytimg.com/vi/FzGFKPv_56M/hqdefault.jpg" TargetMode="External"/><Relationship Id="rId951" Type="http://schemas.openxmlformats.org/officeDocument/2006/relationships/hyperlink" Target="https://www.youtube.com/watch?v=FzGFKPv_56M" TargetMode="External"/><Relationship Id="rId716" Type="http://schemas.openxmlformats.org/officeDocument/2006/relationships/hyperlink" Target="https://i.ytimg.com/vi/Oy35fu4qdPI/hqdefault.jpg" TargetMode="External"/><Relationship Id="rId958" Type="http://schemas.openxmlformats.org/officeDocument/2006/relationships/hyperlink" Target="https://i.ytimg.com/vi/3OzpptG23UU/hqdefault.jpg" TargetMode="External"/><Relationship Id="rId715" Type="http://schemas.openxmlformats.org/officeDocument/2006/relationships/hyperlink" Target="https://www.youtube.com/watch?v=Oy35fu4qdPI" TargetMode="External"/><Relationship Id="rId957" Type="http://schemas.openxmlformats.org/officeDocument/2006/relationships/hyperlink" Target="https://www.youtube.com/watch?v=3OzpptG23UU" TargetMode="External"/><Relationship Id="rId714" Type="http://schemas.openxmlformats.org/officeDocument/2006/relationships/hyperlink" Target="https://i.ytimg.com/vi/f0jOosRhu_c/hqdefault.jpg" TargetMode="External"/><Relationship Id="rId956" Type="http://schemas.openxmlformats.org/officeDocument/2006/relationships/hyperlink" Target="https://i.ytimg.com/vi/DhVvodHNVUE/hqdefault.jpg" TargetMode="External"/><Relationship Id="rId713" Type="http://schemas.openxmlformats.org/officeDocument/2006/relationships/hyperlink" Target="https://www.youtube.com/watch?v=f0jOosRhu_c" TargetMode="External"/><Relationship Id="rId955" Type="http://schemas.openxmlformats.org/officeDocument/2006/relationships/hyperlink" Target="https://www.youtube.com/watch?v=DhVvodHNVUE" TargetMode="External"/><Relationship Id="rId59" Type="http://schemas.openxmlformats.org/officeDocument/2006/relationships/hyperlink" Target="https://www.youtube.com/watch?v=Qlu5GxPQXdE" TargetMode="External"/><Relationship Id="rId58" Type="http://schemas.openxmlformats.org/officeDocument/2006/relationships/hyperlink" Target="https://i.ytimg.com/vi/QR4withfuvw/hqdefault.jpg" TargetMode="External"/><Relationship Id="rId950" Type="http://schemas.openxmlformats.org/officeDocument/2006/relationships/hyperlink" Target="https://i.ytimg.com/vi/dW78olRrreQ/hqdefault.jpg" TargetMode="External"/><Relationship Id="rId590" Type="http://schemas.openxmlformats.org/officeDocument/2006/relationships/hyperlink" Target="https://i.ytimg.com/vi/Inq0I5n3gBU/hqdefault.jpg" TargetMode="External"/><Relationship Id="rId107" Type="http://schemas.openxmlformats.org/officeDocument/2006/relationships/hyperlink" Target="https://www.youtube.com/watch?v=guJrJ59l5qY" TargetMode="External"/><Relationship Id="rId349" Type="http://schemas.openxmlformats.org/officeDocument/2006/relationships/hyperlink" Target="https://www.youtube.com/watch?v=IlHrXTwR1Bw" TargetMode="External"/><Relationship Id="rId106" Type="http://schemas.openxmlformats.org/officeDocument/2006/relationships/hyperlink" Target="https://i.ytimg.com/vi/-eTI_o7yp0E/hqdefault.jpg" TargetMode="External"/><Relationship Id="rId348" Type="http://schemas.openxmlformats.org/officeDocument/2006/relationships/hyperlink" Target="https://i.ytimg.com/vi/wP8_LAkDy24/hqdefault.jpg" TargetMode="External"/><Relationship Id="rId105" Type="http://schemas.openxmlformats.org/officeDocument/2006/relationships/hyperlink" Target="https://www.youtube.com/watch?v=-eTI_o7yp0E" TargetMode="External"/><Relationship Id="rId347" Type="http://schemas.openxmlformats.org/officeDocument/2006/relationships/hyperlink" Target="https://www.youtube.com/watch?v=wP8_LAkDy24" TargetMode="External"/><Relationship Id="rId589" Type="http://schemas.openxmlformats.org/officeDocument/2006/relationships/hyperlink" Target="https://www.youtube.com/watch?v=Inq0I5n3gBU" TargetMode="External"/><Relationship Id="rId104" Type="http://schemas.openxmlformats.org/officeDocument/2006/relationships/hyperlink" Target="https://i.ytimg.com/vi/hbsi6U8T_dI/hqdefault.jpg" TargetMode="External"/><Relationship Id="rId346" Type="http://schemas.openxmlformats.org/officeDocument/2006/relationships/hyperlink" Target="https://i.ytimg.com/vi/2j-kB2H37yM/hqdefault.jpg" TargetMode="External"/><Relationship Id="rId588" Type="http://schemas.openxmlformats.org/officeDocument/2006/relationships/hyperlink" Target="https://i.ytimg.com/vi/vlw4oSNUI1k/hqdefault.jpg" TargetMode="External"/><Relationship Id="rId109" Type="http://schemas.openxmlformats.org/officeDocument/2006/relationships/hyperlink" Target="https://www.youtube.com/watch?v=kKU4UwpOsqk" TargetMode="External"/><Relationship Id="rId108" Type="http://schemas.openxmlformats.org/officeDocument/2006/relationships/hyperlink" Target="https://i.ytimg.com/vi/guJrJ59l5qY/hqdefault.jpg" TargetMode="External"/><Relationship Id="rId341" Type="http://schemas.openxmlformats.org/officeDocument/2006/relationships/hyperlink" Target="https://www.youtube.com/watch?v=28FwoKVKxI0" TargetMode="External"/><Relationship Id="rId583" Type="http://schemas.openxmlformats.org/officeDocument/2006/relationships/hyperlink" Target="https://www.youtube.com/watch?v=SdQPksbHyw4" TargetMode="External"/><Relationship Id="rId340" Type="http://schemas.openxmlformats.org/officeDocument/2006/relationships/hyperlink" Target="https://i.ytimg.com/vi/hCdUIzh9ymM/hqdefault.jpg" TargetMode="External"/><Relationship Id="rId582" Type="http://schemas.openxmlformats.org/officeDocument/2006/relationships/hyperlink" Target="https://i.ytimg.com/vi/-dHGy1omgO0/hqdefault.jpg" TargetMode="External"/><Relationship Id="rId581" Type="http://schemas.openxmlformats.org/officeDocument/2006/relationships/hyperlink" Target="https://www.youtube.com/watch?v=-dHGy1omgO0" TargetMode="External"/><Relationship Id="rId580" Type="http://schemas.openxmlformats.org/officeDocument/2006/relationships/hyperlink" Target="https://i.ytimg.com/vi/p_TMtU7uIaY/hqdefault.jpg" TargetMode="External"/><Relationship Id="rId103" Type="http://schemas.openxmlformats.org/officeDocument/2006/relationships/hyperlink" Target="https://www.youtube.com/watch?v=hbsi6U8T_dI" TargetMode="External"/><Relationship Id="rId345" Type="http://schemas.openxmlformats.org/officeDocument/2006/relationships/hyperlink" Target="https://www.youtube.com/watch?v=2j-kB2H37yM" TargetMode="External"/><Relationship Id="rId587" Type="http://schemas.openxmlformats.org/officeDocument/2006/relationships/hyperlink" Target="https://www.youtube.com/watch?v=vlw4oSNUI1k" TargetMode="External"/><Relationship Id="rId102" Type="http://schemas.openxmlformats.org/officeDocument/2006/relationships/hyperlink" Target="https://i.ytimg.com/vi/n0qnVcweNV4/hqdefault.jpg" TargetMode="External"/><Relationship Id="rId344" Type="http://schemas.openxmlformats.org/officeDocument/2006/relationships/hyperlink" Target="https://i.ytimg.com/vi/yrmJE08FPoc/hqdefault.jpg" TargetMode="External"/><Relationship Id="rId586" Type="http://schemas.openxmlformats.org/officeDocument/2006/relationships/hyperlink" Target="https://i.ytimg.com/vi/QdHr34Ko_4M/hqdefault.jpg" TargetMode="External"/><Relationship Id="rId101" Type="http://schemas.openxmlformats.org/officeDocument/2006/relationships/hyperlink" Target="https://www.youtube.com/watch?v=n0qnVcweNV4" TargetMode="External"/><Relationship Id="rId343" Type="http://schemas.openxmlformats.org/officeDocument/2006/relationships/hyperlink" Target="https://www.youtube.com/watch?v=yrmJE08FPoc" TargetMode="External"/><Relationship Id="rId585" Type="http://schemas.openxmlformats.org/officeDocument/2006/relationships/hyperlink" Target="https://www.youtube.com/watch?v=QdHr34Ko_4M" TargetMode="External"/><Relationship Id="rId100" Type="http://schemas.openxmlformats.org/officeDocument/2006/relationships/hyperlink" Target="https://i.ytimg.com/vi/U3bnYGwIMT8/hqdefault.jpg" TargetMode="External"/><Relationship Id="rId342" Type="http://schemas.openxmlformats.org/officeDocument/2006/relationships/hyperlink" Target="https://i.ytimg.com/vi/28FwoKVKxI0/hqdefault.jpg" TargetMode="External"/><Relationship Id="rId584" Type="http://schemas.openxmlformats.org/officeDocument/2006/relationships/hyperlink" Target="https://i.ytimg.com/vi/SdQPksbHyw4/hqdefault.jpg" TargetMode="External"/><Relationship Id="rId338" Type="http://schemas.openxmlformats.org/officeDocument/2006/relationships/hyperlink" Target="https://i.ytimg.com/vi/hIZXQaumC7Y/hqdefault.jpg" TargetMode="External"/><Relationship Id="rId337" Type="http://schemas.openxmlformats.org/officeDocument/2006/relationships/hyperlink" Target="https://www.youtube.com/watch?v=hIZXQaumC7Y" TargetMode="External"/><Relationship Id="rId579" Type="http://schemas.openxmlformats.org/officeDocument/2006/relationships/hyperlink" Target="https://www.youtube.com/watch?v=p_TMtU7uIaY" TargetMode="External"/><Relationship Id="rId336" Type="http://schemas.openxmlformats.org/officeDocument/2006/relationships/hyperlink" Target="https://i.ytimg.com/vi/Mi2DWlR-rP0/hqdefault.jpg" TargetMode="External"/><Relationship Id="rId578" Type="http://schemas.openxmlformats.org/officeDocument/2006/relationships/hyperlink" Target="https://i.ytimg.com/vi/8-kYueD8SG0/hqdefault.jpg" TargetMode="External"/><Relationship Id="rId335" Type="http://schemas.openxmlformats.org/officeDocument/2006/relationships/hyperlink" Target="https://www.youtube.com/watch?v=Mi2DWlR-rP0" TargetMode="External"/><Relationship Id="rId577" Type="http://schemas.openxmlformats.org/officeDocument/2006/relationships/hyperlink" Target="https://www.youtube.com/watch?v=8-kYueD8SG0" TargetMode="External"/><Relationship Id="rId339" Type="http://schemas.openxmlformats.org/officeDocument/2006/relationships/hyperlink" Target="https://www.youtube.com/watch?v=hCdUIzh9ymM" TargetMode="External"/><Relationship Id="rId1160" Type="http://schemas.openxmlformats.org/officeDocument/2006/relationships/hyperlink" Target="https://i.ytimg.com/vi/uB4op8XOCUE/hqdefault.jpg" TargetMode="External"/><Relationship Id="rId330" Type="http://schemas.openxmlformats.org/officeDocument/2006/relationships/hyperlink" Target="https://i.ytimg.com/vi/nVLUy28FFa4/hqdefault.jpg" TargetMode="External"/><Relationship Id="rId572" Type="http://schemas.openxmlformats.org/officeDocument/2006/relationships/hyperlink" Target="https://i.ytimg.com/vi/tE7aoKmmJQk/hqdefault.jpg" TargetMode="External"/><Relationship Id="rId1161" Type="http://schemas.openxmlformats.org/officeDocument/2006/relationships/hyperlink" Target="https://www.youtube.com/watch?v=JYYpAFD1gN4" TargetMode="External"/><Relationship Id="rId571" Type="http://schemas.openxmlformats.org/officeDocument/2006/relationships/hyperlink" Target="https://www.youtube.com/watch?v=tE7aoKmmJQk" TargetMode="External"/><Relationship Id="rId1162" Type="http://schemas.openxmlformats.org/officeDocument/2006/relationships/hyperlink" Target="https://i.ytimg.com/vi/JYYpAFD1gN4/hqdefault.jpg" TargetMode="External"/><Relationship Id="rId570" Type="http://schemas.openxmlformats.org/officeDocument/2006/relationships/hyperlink" Target="https://i.ytimg.com/vi/7Pft3aY1YA0/hqdefault.jpg" TargetMode="External"/><Relationship Id="rId1163" Type="http://schemas.openxmlformats.org/officeDocument/2006/relationships/hyperlink" Target="https://www.youtube.com/watch?v=nuaITRtNMY8" TargetMode="External"/><Relationship Id="rId1164" Type="http://schemas.openxmlformats.org/officeDocument/2006/relationships/hyperlink" Target="https://i.ytimg.com/vi/nuaITRtNMY8/hqdefault.jpg" TargetMode="External"/><Relationship Id="rId334" Type="http://schemas.openxmlformats.org/officeDocument/2006/relationships/hyperlink" Target="https://i.ytimg.com/vi/HWJV5TiGxB4/hqdefault.jpg" TargetMode="External"/><Relationship Id="rId576" Type="http://schemas.openxmlformats.org/officeDocument/2006/relationships/hyperlink" Target="https://i.ytimg.com/vi/TS7vqxYderc/hqdefault.jpg" TargetMode="External"/><Relationship Id="rId1165" Type="http://schemas.openxmlformats.org/officeDocument/2006/relationships/hyperlink" Target="https://www.youtube.com/watch?v=G_fUXO5JIiA" TargetMode="External"/><Relationship Id="rId333" Type="http://schemas.openxmlformats.org/officeDocument/2006/relationships/hyperlink" Target="https://www.youtube.com/watch?v=HWJV5TiGxB4" TargetMode="External"/><Relationship Id="rId575" Type="http://schemas.openxmlformats.org/officeDocument/2006/relationships/hyperlink" Target="https://www.youtube.com/watch?v=TS7vqxYderc" TargetMode="External"/><Relationship Id="rId1166" Type="http://schemas.openxmlformats.org/officeDocument/2006/relationships/hyperlink" Target="https://i.ytimg.com/vi/G_fUXO5JIiA/hqdefault.jpg" TargetMode="External"/><Relationship Id="rId332" Type="http://schemas.openxmlformats.org/officeDocument/2006/relationships/hyperlink" Target="https://i.ytimg.com/vi/o4NbCAR5yHE/hqdefault.jpg" TargetMode="External"/><Relationship Id="rId574" Type="http://schemas.openxmlformats.org/officeDocument/2006/relationships/hyperlink" Target="https://i.ytimg.com/vi/fKwaV10Nw-s/hqdefault.jpg" TargetMode="External"/><Relationship Id="rId1167" Type="http://schemas.openxmlformats.org/officeDocument/2006/relationships/drawing" Target="../drawings/drawing1.xml"/><Relationship Id="rId331" Type="http://schemas.openxmlformats.org/officeDocument/2006/relationships/hyperlink" Target="https://www.youtube.com/watch?v=o4NbCAR5yHE" TargetMode="External"/><Relationship Id="rId573" Type="http://schemas.openxmlformats.org/officeDocument/2006/relationships/hyperlink" Target="https://www.youtube.com/watch?v=fKwaV10Nw-s" TargetMode="External"/><Relationship Id="rId370" Type="http://schemas.openxmlformats.org/officeDocument/2006/relationships/hyperlink" Target="https://i.ytimg.com/vi/RYRdDXa6TTw/hqdefault.jpg" TargetMode="External"/><Relationship Id="rId129" Type="http://schemas.openxmlformats.org/officeDocument/2006/relationships/hyperlink" Target="https://www.youtube.com/watch?v=vKJQAN4FyMA" TargetMode="External"/><Relationship Id="rId128" Type="http://schemas.openxmlformats.org/officeDocument/2006/relationships/hyperlink" Target="https://i.ytimg.com/vi/J8pqOmjuZOs/hqdefault.jpg" TargetMode="External"/><Relationship Id="rId127" Type="http://schemas.openxmlformats.org/officeDocument/2006/relationships/hyperlink" Target="https://www.youtube.com/watch?v=J8pqOmjuZOs" TargetMode="External"/><Relationship Id="rId369" Type="http://schemas.openxmlformats.org/officeDocument/2006/relationships/hyperlink" Target="https://www.youtube.com/watch?v=RYRdDXa6TTw" TargetMode="External"/><Relationship Id="rId126" Type="http://schemas.openxmlformats.org/officeDocument/2006/relationships/hyperlink" Target="https://i.ytimg.com/vi/JbV8FpZVqxA/hqdefault.jpg" TargetMode="External"/><Relationship Id="rId368" Type="http://schemas.openxmlformats.org/officeDocument/2006/relationships/hyperlink" Target="https://i.ytimg.com/vi/fdYFru-2Znk/hqdefault.jpg" TargetMode="External"/><Relationship Id="rId121" Type="http://schemas.openxmlformats.org/officeDocument/2006/relationships/hyperlink" Target="https://www.youtube.com/watch?v=TmT9Gd7gzlw" TargetMode="External"/><Relationship Id="rId363" Type="http://schemas.openxmlformats.org/officeDocument/2006/relationships/hyperlink" Target="https://www.youtube.com/watch?v=IZ4ytcFBCKg" TargetMode="External"/><Relationship Id="rId120" Type="http://schemas.openxmlformats.org/officeDocument/2006/relationships/hyperlink" Target="https://i.ytimg.com/vi/XlryGjTWQjk/hqdefault.jpg" TargetMode="External"/><Relationship Id="rId362" Type="http://schemas.openxmlformats.org/officeDocument/2006/relationships/hyperlink" Target="https://i.ytimg.com/vi/ArzvzkUEyU8/hqdefault.jpg" TargetMode="External"/><Relationship Id="rId361" Type="http://schemas.openxmlformats.org/officeDocument/2006/relationships/hyperlink" Target="https://www.youtube.com/watch?v=ArzvzkUEyU8" TargetMode="External"/><Relationship Id="rId360" Type="http://schemas.openxmlformats.org/officeDocument/2006/relationships/hyperlink" Target="https://i.ytimg.com/vi/tBBWBWaNoqk/hqdefault.jpg" TargetMode="External"/><Relationship Id="rId125" Type="http://schemas.openxmlformats.org/officeDocument/2006/relationships/hyperlink" Target="https://www.youtube.com/watch?v=JbV8FpZVqxA" TargetMode="External"/><Relationship Id="rId367" Type="http://schemas.openxmlformats.org/officeDocument/2006/relationships/hyperlink" Target="https://www.youtube.com/watch?v=fdYFru-2Znk" TargetMode="External"/><Relationship Id="rId124" Type="http://schemas.openxmlformats.org/officeDocument/2006/relationships/hyperlink" Target="https://i.ytimg.com/vi/uP5VreGrCW0/hqdefault.jpg" TargetMode="External"/><Relationship Id="rId366" Type="http://schemas.openxmlformats.org/officeDocument/2006/relationships/hyperlink" Target="https://i.ytimg.com/vi/W6s6kqIDZ1c/hqdefault.jpg" TargetMode="External"/><Relationship Id="rId123" Type="http://schemas.openxmlformats.org/officeDocument/2006/relationships/hyperlink" Target="https://www.youtube.com/watch?v=uP5VreGrCW0" TargetMode="External"/><Relationship Id="rId365" Type="http://schemas.openxmlformats.org/officeDocument/2006/relationships/hyperlink" Target="https://www.youtube.com/watch?v=W6s6kqIDZ1c" TargetMode="External"/><Relationship Id="rId122" Type="http://schemas.openxmlformats.org/officeDocument/2006/relationships/hyperlink" Target="https://i.ytimg.com/vi/TmT9Gd7gzlw/hqdefault.jpg" TargetMode="External"/><Relationship Id="rId364" Type="http://schemas.openxmlformats.org/officeDocument/2006/relationships/hyperlink" Target="https://i.ytimg.com/vi/IZ4ytcFBCKg/hqdefault.jpg" TargetMode="External"/><Relationship Id="rId95" Type="http://schemas.openxmlformats.org/officeDocument/2006/relationships/hyperlink" Target="https://www.youtube.com/watch?v=li51R3ns5uI" TargetMode="External"/><Relationship Id="rId94" Type="http://schemas.openxmlformats.org/officeDocument/2006/relationships/hyperlink" Target="https://i.ytimg.com/vi/gccQH3dlaP4/hqdefault.jpg" TargetMode="External"/><Relationship Id="rId97" Type="http://schemas.openxmlformats.org/officeDocument/2006/relationships/hyperlink" Target="https://www.youtube.com/watch?v=bjTFZqbmzW4" TargetMode="External"/><Relationship Id="rId96" Type="http://schemas.openxmlformats.org/officeDocument/2006/relationships/hyperlink" Target="https://i.ytimg.com/vi/li51R3ns5uI/hqdefault.jpg" TargetMode="External"/><Relationship Id="rId99" Type="http://schemas.openxmlformats.org/officeDocument/2006/relationships/hyperlink" Target="https://www.youtube.com/watch?v=U3bnYGwIMT8" TargetMode="External"/><Relationship Id="rId98" Type="http://schemas.openxmlformats.org/officeDocument/2006/relationships/hyperlink" Target="https://i.ytimg.com/vi/bjTFZqbmzW4/hqdefault.jpg" TargetMode="External"/><Relationship Id="rId91" Type="http://schemas.openxmlformats.org/officeDocument/2006/relationships/hyperlink" Target="https://www.youtube.com/watch?v=kPp0HRfwhSc" TargetMode="External"/><Relationship Id="rId90" Type="http://schemas.openxmlformats.org/officeDocument/2006/relationships/hyperlink" Target="https://i.ytimg.com/vi/KKb60wveIb0/hqdefault.jpg" TargetMode="External"/><Relationship Id="rId93" Type="http://schemas.openxmlformats.org/officeDocument/2006/relationships/hyperlink" Target="https://www.youtube.com/watch?v=gccQH3dlaP4" TargetMode="External"/><Relationship Id="rId92" Type="http://schemas.openxmlformats.org/officeDocument/2006/relationships/hyperlink" Target="https://i.ytimg.com/vi/kPp0HRfwhSc/hqdefault.jpg" TargetMode="External"/><Relationship Id="rId118" Type="http://schemas.openxmlformats.org/officeDocument/2006/relationships/hyperlink" Target="https://i.ytimg.com/vi/y0JB1BiE7Ig/hqdefault.jpg" TargetMode="External"/><Relationship Id="rId117" Type="http://schemas.openxmlformats.org/officeDocument/2006/relationships/hyperlink" Target="https://www.youtube.com/watch?v=y0JB1BiE7Ig" TargetMode="External"/><Relationship Id="rId359" Type="http://schemas.openxmlformats.org/officeDocument/2006/relationships/hyperlink" Target="https://www.youtube.com/watch?v=tBBWBWaNoqk" TargetMode="External"/><Relationship Id="rId116" Type="http://schemas.openxmlformats.org/officeDocument/2006/relationships/hyperlink" Target="https://i.ytimg.com/vi/GO4HC4Yr0VQ/hqdefault.jpg" TargetMode="External"/><Relationship Id="rId358" Type="http://schemas.openxmlformats.org/officeDocument/2006/relationships/hyperlink" Target="https://i.ytimg.com/vi/XB4WdG3U06o/hqdefault.jpg" TargetMode="External"/><Relationship Id="rId115" Type="http://schemas.openxmlformats.org/officeDocument/2006/relationships/hyperlink" Target="https://www.youtube.com/watch?v=GO4HC4Yr0VQ" TargetMode="External"/><Relationship Id="rId357" Type="http://schemas.openxmlformats.org/officeDocument/2006/relationships/hyperlink" Target="https://www.youtube.com/watch?v=XB4WdG3U06o" TargetMode="External"/><Relationship Id="rId599" Type="http://schemas.openxmlformats.org/officeDocument/2006/relationships/hyperlink" Target="https://www.youtube.com/watch?v=D1fbTn3ZlEo" TargetMode="External"/><Relationship Id="rId119" Type="http://schemas.openxmlformats.org/officeDocument/2006/relationships/hyperlink" Target="https://www.youtube.com/watch?v=XlryGjTWQjk" TargetMode="External"/><Relationship Id="rId110" Type="http://schemas.openxmlformats.org/officeDocument/2006/relationships/hyperlink" Target="https://i.ytimg.com/vi/kKU4UwpOsqk/hqdefault.jpg" TargetMode="External"/><Relationship Id="rId352" Type="http://schemas.openxmlformats.org/officeDocument/2006/relationships/hyperlink" Target="https://i.ytimg.com/vi/PiLQA38vPX8/hqdefault.jpg" TargetMode="External"/><Relationship Id="rId594" Type="http://schemas.openxmlformats.org/officeDocument/2006/relationships/hyperlink" Target="https://i.ytimg.com/vi/FwQztWw0VLU/hqdefault.jpg" TargetMode="External"/><Relationship Id="rId351" Type="http://schemas.openxmlformats.org/officeDocument/2006/relationships/hyperlink" Target="https://www.youtube.com/watch?v=PiLQA38vPX8" TargetMode="External"/><Relationship Id="rId593" Type="http://schemas.openxmlformats.org/officeDocument/2006/relationships/hyperlink" Target="https://www.youtube.com/watch?v=FwQztWw0VLU" TargetMode="External"/><Relationship Id="rId350" Type="http://schemas.openxmlformats.org/officeDocument/2006/relationships/hyperlink" Target="https://i.ytimg.com/vi/IlHrXTwR1Bw/hqdefault.jpg" TargetMode="External"/><Relationship Id="rId592" Type="http://schemas.openxmlformats.org/officeDocument/2006/relationships/hyperlink" Target="https://i.ytimg.com/vi/bVrj5udmgwo/hqdefault.jpg" TargetMode="External"/><Relationship Id="rId591" Type="http://schemas.openxmlformats.org/officeDocument/2006/relationships/hyperlink" Target="https://www.youtube.com/watch?v=bVrj5udmgwo" TargetMode="External"/><Relationship Id="rId114" Type="http://schemas.openxmlformats.org/officeDocument/2006/relationships/hyperlink" Target="https://i.ytimg.com/vi/_ZH5q7-Yiys/hqdefault.jpg" TargetMode="External"/><Relationship Id="rId356" Type="http://schemas.openxmlformats.org/officeDocument/2006/relationships/hyperlink" Target="https://i.ytimg.com/vi/kxqJ4Jl96aw/hqdefault.jpg" TargetMode="External"/><Relationship Id="rId598" Type="http://schemas.openxmlformats.org/officeDocument/2006/relationships/hyperlink" Target="https://i.ytimg.com/vi/Cn7TCKLsl24/hqdefault.jpg" TargetMode="External"/><Relationship Id="rId113" Type="http://schemas.openxmlformats.org/officeDocument/2006/relationships/hyperlink" Target="https://www.youtube.com/watch?v=_ZH5q7-Yiys" TargetMode="External"/><Relationship Id="rId355" Type="http://schemas.openxmlformats.org/officeDocument/2006/relationships/hyperlink" Target="https://www.youtube.com/watch?v=kxqJ4Jl96aw" TargetMode="External"/><Relationship Id="rId597" Type="http://schemas.openxmlformats.org/officeDocument/2006/relationships/hyperlink" Target="https://www.youtube.com/watch?v=Cn7TCKLsl24" TargetMode="External"/><Relationship Id="rId112" Type="http://schemas.openxmlformats.org/officeDocument/2006/relationships/hyperlink" Target="https://i.ytimg.com/vi/IMyp_kHonus/hqdefault.jpg" TargetMode="External"/><Relationship Id="rId354" Type="http://schemas.openxmlformats.org/officeDocument/2006/relationships/hyperlink" Target="https://i.ytimg.com/vi/xKlik1dnVGg/hqdefault.jpg" TargetMode="External"/><Relationship Id="rId596" Type="http://schemas.openxmlformats.org/officeDocument/2006/relationships/hyperlink" Target="https://i.ytimg.com/vi/j5VMhBaYXqM/hqdefault.jpg" TargetMode="External"/><Relationship Id="rId111" Type="http://schemas.openxmlformats.org/officeDocument/2006/relationships/hyperlink" Target="https://www.youtube.com/watch?v=IMyp_kHonus" TargetMode="External"/><Relationship Id="rId353" Type="http://schemas.openxmlformats.org/officeDocument/2006/relationships/hyperlink" Target="https://www.youtube.com/watch?v=xKlik1dnVGg" TargetMode="External"/><Relationship Id="rId595" Type="http://schemas.openxmlformats.org/officeDocument/2006/relationships/hyperlink" Target="https://www.youtube.com/watch?v=j5VMhBaYXqM" TargetMode="External"/><Relationship Id="rId1136" Type="http://schemas.openxmlformats.org/officeDocument/2006/relationships/hyperlink" Target="https://i.ytimg.com/vi/lyVq3yIfcO8/hqdefault.jpg" TargetMode="External"/><Relationship Id="rId1137" Type="http://schemas.openxmlformats.org/officeDocument/2006/relationships/hyperlink" Target="https://www.youtube.com/watch?v=GSf1kulhoIo" TargetMode="External"/><Relationship Id="rId1138" Type="http://schemas.openxmlformats.org/officeDocument/2006/relationships/hyperlink" Target="https://i.ytimg.com/vi/GSf1kulhoIo/hqdefault.jpg" TargetMode="External"/><Relationship Id="rId1139" Type="http://schemas.openxmlformats.org/officeDocument/2006/relationships/hyperlink" Target="https://www.youtube.com/watch?v=mrmc1Pgo5s0" TargetMode="External"/><Relationship Id="rId305" Type="http://schemas.openxmlformats.org/officeDocument/2006/relationships/hyperlink" Target="https://www.youtube.com/watch?v=3Cr54ye0FZ0" TargetMode="External"/><Relationship Id="rId547" Type="http://schemas.openxmlformats.org/officeDocument/2006/relationships/hyperlink" Target="https://www.youtube.com/watch?v=jnewsLAAEqs" TargetMode="External"/><Relationship Id="rId789" Type="http://schemas.openxmlformats.org/officeDocument/2006/relationships/hyperlink" Target="https://www.youtube.com/watch?v=wQu1VIo2Ia4" TargetMode="External"/><Relationship Id="rId304" Type="http://schemas.openxmlformats.org/officeDocument/2006/relationships/hyperlink" Target="https://i.ytimg.com/vi/GKy4FwdXGCU/hqdefault.jpg" TargetMode="External"/><Relationship Id="rId546" Type="http://schemas.openxmlformats.org/officeDocument/2006/relationships/hyperlink" Target="https://i.ytimg.com/vi/f2VpAA-5dkg/hqdefault.jpg" TargetMode="External"/><Relationship Id="rId788" Type="http://schemas.openxmlformats.org/officeDocument/2006/relationships/hyperlink" Target="https://i.ytimg.com/vi/1uVvagZEA0c/hqdefault.jpg" TargetMode="External"/><Relationship Id="rId303" Type="http://schemas.openxmlformats.org/officeDocument/2006/relationships/hyperlink" Target="https://www.youtube.com/watch?v=GKy4FwdXGCU" TargetMode="External"/><Relationship Id="rId545" Type="http://schemas.openxmlformats.org/officeDocument/2006/relationships/hyperlink" Target="https://www.youtube.com/watch?v=f2VpAA-5dkg" TargetMode="External"/><Relationship Id="rId787" Type="http://schemas.openxmlformats.org/officeDocument/2006/relationships/hyperlink" Target="https://www.youtube.com/watch?v=1uVvagZEA0c" TargetMode="External"/><Relationship Id="rId302" Type="http://schemas.openxmlformats.org/officeDocument/2006/relationships/hyperlink" Target="https://i.ytimg.com/vi/Z3ExCCG7SU0/hqdefault.jpg" TargetMode="External"/><Relationship Id="rId544" Type="http://schemas.openxmlformats.org/officeDocument/2006/relationships/hyperlink" Target="https://i.ytimg.com/vi/PF0rVD94h14/hqdefault.jpg" TargetMode="External"/><Relationship Id="rId786" Type="http://schemas.openxmlformats.org/officeDocument/2006/relationships/hyperlink" Target="https://i.ytimg.com/vi/oe69m-RhiMU/hqdefault.jpg" TargetMode="External"/><Relationship Id="rId309" Type="http://schemas.openxmlformats.org/officeDocument/2006/relationships/hyperlink" Target="https://www.youtube.com/watch?v=UN1FNFq_R5c" TargetMode="External"/><Relationship Id="rId308" Type="http://schemas.openxmlformats.org/officeDocument/2006/relationships/hyperlink" Target="https://i.ytimg.com/vi/wjQMnMBsEgI/hqdefault.jpg" TargetMode="External"/><Relationship Id="rId307" Type="http://schemas.openxmlformats.org/officeDocument/2006/relationships/hyperlink" Target="https://www.youtube.com/watch?v=wjQMnMBsEgI" TargetMode="External"/><Relationship Id="rId549" Type="http://schemas.openxmlformats.org/officeDocument/2006/relationships/hyperlink" Target="https://www.youtube.com/watch?v=ZJLHTSbyOqM" TargetMode="External"/><Relationship Id="rId306" Type="http://schemas.openxmlformats.org/officeDocument/2006/relationships/hyperlink" Target="https://i.ytimg.com/vi/3Cr54ye0FZ0/hqdefault.jpg" TargetMode="External"/><Relationship Id="rId548" Type="http://schemas.openxmlformats.org/officeDocument/2006/relationships/hyperlink" Target="https://i.ytimg.com/vi/jnewsLAAEqs/hqdefault.jpg" TargetMode="External"/><Relationship Id="rId781" Type="http://schemas.openxmlformats.org/officeDocument/2006/relationships/hyperlink" Target="https://www.youtube.com/watch?v=3Hkix-B7xGk" TargetMode="External"/><Relationship Id="rId780" Type="http://schemas.openxmlformats.org/officeDocument/2006/relationships/hyperlink" Target="https://i.ytimg.com/vi/JLzdny1s7XE/hqdefault.jpg" TargetMode="External"/><Relationship Id="rId1130" Type="http://schemas.openxmlformats.org/officeDocument/2006/relationships/hyperlink" Target="https://i.ytimg.com/vi/ipQeKYrIshE/hqdefault.jpg" TargetMode="External"/><Relationship Id="rId1131" Type="http://schemas.openxmlformats.org/officeDocument/2006/relationships/hyperlink" Target="https://www.youtube.com/watch?v=AeGDnZHBhK8" TargetMode="External"/><Relationship Id="rId301" Type="http://schemas.openxmlformats.org/officeDocument/2006/relationships/hyperlink" Target="https://www.youtube.com/watch?v=Z3ExCCG7SU0" TargetMode="External"/><Relationship Id="rId543" Type="http://schemas.openxmlformats.org/officeDocument/2006/relationships/hyperlink" Target="https://www.youtube.com/watch?v=PF0rVD94h14" TargetMode="External"/><Relationship Id="rId785" Type="http://schemas.openxmlformats.org/officeDocument/2006/relationships/hyperlink" Target="https://www.youtube.com/watch?v=oe69m-RhiMU" TargetMode="External"/><Relationship Id="rId1132" Type="http://schemas.openxmlformats.org/officeDocument/2006/relationships/hyperlink" Target="https://i.ytimg.com/vi/AeGDnZHBhK8/hqdefault.jpg" TargetMode="External"/><Relationship Id="rId300" Type="http://schemas.openxmlformats.org/officeDocument/2006/relationships/hyperlink" Target="https://i.ytimg.com/vi/Za2O6B4mIik/hqdefault.jpg" TargetMode="External"/><Relationship Id="rId542" Type="http://schemas.openxmlformats.org/officeDocument/2006/relationships/hyperlink" Target="https://i.ytimg.com/vi/JULxOF9qL9c/hqdefault.jpg" TargetMode="External"/><Relationship Id="rId784" Type="http://schemas.openxmlformats.org/officeDocument/2006/relationships/hyperlink" Target="https://i.ytimg.com/vi/s1_HpGc-NiU/hqdefault.jpg" TargetMode="External"/><Relationship Id="rId1133" Type="http://schemas.openxmlformats.org/officeDocument/2006/relationships/hyperlink" Target="https://www.youtube.com/watch?v=OowOxUtcnRE" TargetMode="External"/><Relationship Id="rId541" Type="http://schemas.openxmlformats.org/officeDocument/2006/relationships/hyperlink" Target="https://www.youtube.com/watch?v=JULxOF9qL9c" TargetMode="External"/><Relationship Id="rId783" Type="http://schemas.openxmlformats.org/officeDocument/2006/relationships/hyperlink" Target="https://www.youtube.com/watch?v=s1_HpGc-NiU" TargetMode="External"/><Relationship Id="rId1134" Type="http://schemas.openxmlformats.org/officeDocument/2006/relationships/hyperlink" Target="https://i.ytimg.com/vi/OowOxUtcnRE/hqdefault.jpg" TargetMode="External"/><Relationship Id="rId540" Type="http://schemas.openxmlformats.org/officeDocument/2006/relationships/hyperlink" Target="https://i.ytimg.com/vi/zh5GCvNZzHU/hqdefault.jpg" TargetMode="External"/><Relationship Id="rId782" Type="http://schemas.openxmlformats.org/officeDocument/2006/relationships/hyperlink" Target="https://i.ytimg.com/vi/3Hkix-B7xGk/hqdefault.jpg" TargetMode="External"/><Relationship Id="rId1135" Type="http://schemas.openxmlformats.org/officeDocument/2006/relationships/hyperlink" Target="https://www.youtube.com/watch?v=lyVq3yIfcO8" TargetMode="External"/><Relationship Id="rId1125" Type="http://schemas.openxmlformats.org/officeDocument/2006/relationships/hyperlink" Target="https://www.youtube.com/watch?v=13s9Ev8FO9M" TargetMode="External"/><Relationship Id="rId1126" Type="http://schemas.openxmlformats.org/officeDocument/2006/relationships/hyperlink" Target="https://i.ytimg.com/vi/13s9Ev8FO9M/hqdefault.jpg" TargetMode="External"/><Relationship Id="rId1127" Type="http://schemas.openxmlformats.org/officeDocument/2006/relationships/hyperlink" Target="https://www.youtube.com/watch?v=L8XnIlLGL1E" TargetMode="External"/><Relationship Id="rId1128" Type="http://schemas.openxmlformats.org/officeDocument/2006/relationships/hyperlink" Target="https://i.ytimg.com/vi/L8XnIlLGL1E/hqdefault.jpg" TargetMode="External"/><Relationship Id="rId1129" Type="http://schemas.openxmlformats.org/officeDocument/2006/relationships/hyperlink" Target="https://www.youtube.com/watch?v=ipQeKYrIshE" TargetMode="External"/><Relationship Id="rId536" Type="http://schemas.openxmlformats.org/officeDocument/2006/relationships/hyperlink" Target="https://i.ytimg.com/vi/DpSfQju9zVg/hqdefault.jpg" TargetMode="External"/><Relationship Id="rId778" Type="http://schemas.openxmlformats.org/officeDocument/2006/relationships/hyperlink" Target="https://i.ytimg.com/vi/PN27werEovw/hqdefault.jpg" TargetMode="External"/><Relationship Id="rId535" Type="http://schemas.openxmlformats.org/officeDocument/2006/relationships/hyperlink" Target="https://www.youtube.com/watch?v=DpSfQju9zVg" TargetMode="External"/><Relationship Id="rId777" Type="http://schemas.openxmlformats.org/officeDocument/2006/relationships/hyperlink" Target="https://www.youtube.com/watch?v=PN27werEovw" TargetMode="External"/><Relationship Id="rId534" Type="http://schemas.openxmlformats.org/officeDocument/2006/relationships/hyperlink" Target="https://i.ytimg.com/vi/uz911tvV8pQ/hqdefault.jpg" TargetMode="External"/><Relationship Id="rId776" Type="http://schemas.openxmlformats.org/officeDocument/2006/relationships/hyperlink" Target="https://i.ytimg.com/vi/ujrr26n9FDg/hqdefault.jpg" TargetMode="External"/><Relationship Id="rId533" Type="http://schemas.openxmlformats.org/officeDocument/2006/relationships/hyperlink" Target="https://www.youtube.com/watch?v=uz911tvV8pQ" TargetMode="External"/><Relationship Id="rId775" Type="http://schemas.openxmlformats.org/officeDocument/2006/relationships/hyperlink" Target="https://www.youtube.com/watch?v=ujrr26n9FDg" TargetMode="External"/><Relationship Id="rId539" Type="http://schemas.openxmlformats.org/officeDocument/2006/relationships/hyperlink" Target="https://www.youtube.com/watch?v=zh5GCvNZzHU" TargetMode="External"/><Relationship Id="rId538" Type="http://schemas.openxmlformats.org/officeDocument/2006/relationships/hyperlink" Target="https://i.ytimg.com/vi/Fjx33KpZ7YE/hqdefault.jpg" TargetMode="External"/><Relationship Id="rId537" Type="http://schemas.openxmlformats.org/officeDocument/2006/relationships/hyperlink" Target="https://www.youtube.com/watch?v=Fjx33KpZ7YE" TargetMode="External"/><Relationship Id="rId779" Type="http://schemas.openxmlformats.org/officeDocument/2006/relationships/hyperlink" Target="https://www.youtube.com/watch?v=JLzdny1s7XE" TargetMode="External"/><Relationship Id="rId770" Type="http://schemas.openxmlformats.org/officeDocument/2006/relationships/hyperlink" Target="https://i.ytimg.com/vi/XxLz44wV9Yw/hqdefault.jpg" TargetMode="External"/><Relationship Id="rId1120" Type="http://schemas.openxmlformats.org/officeDocument/2006/relationships/hyperlink" Target="https://i.ytimg.com/vi/IrAZsq9FsjQ/hqdefault.jpg" TargetMode="External"/><Relationship Id="rId532" Type="http://schemas.openxmlformats.org/officeDocument/2006/relationships/hyperlink" Target="https://i.ytimg.com/vi/7Qbu1cHmLQs/hqdefault.jpg" TargetMode="External"/><Relationship Id="rId774" Type="http://schemas.openxmlformats.org/officeDocument/2006/relationships/hyperlink" Target="https://i.ytimg.com/vi/FoMlYlm-USw/hqdefault.jpg" TargetMode="External"/><Relationship Id="rId1121" Type="http://schemas.openxmlformats.org/officeDocument/2006/relationships/hyperlink" Target="https://www.youtube.com/watch?v=nXO9XhykPmY" TargetMode="External"/><Relationship Id="rId531" Type="http://schemas.openxmlformats.org/officeDocument/2006/relationships/hyperlink" Target="https://www.youtube.com/watch?v=7Qbu1cHmLQs" TargetMode="External"/><Relationship Id="rId773" Type="http://schemas.openxmlformats.org/officeDocument/2006/relationships/hyperlink" Target="https://www.youtube.com/watch?v=FoMlYlm-USw" TargetMode="External"/><Relationship Id="rId1122" Type="http://schemas.openxmlformats.org/officeDocument/2006/relationships/hyperlink" Target="https://i.ytimg.com/vi/nXO9XhykPmY/hqdefault.jpg" TargetMode="External"/><Relationship Id="rId530" Type="http://schemas.openxmlformats.org/officeDocument/2006/relationships/hyperlink" Target="https://i.ytimg.com/vi/N7zakQpR0UQ/hqdefault.jpg" TargetMode="External"/><Relationship Id="rId772" Type="http://schemas.openxmlformats.org/officeDocument/2006/relationships/hyperlink" Target="https://i.ytimg.com/vi/ygsbwUkOdQg/hqdefault.jpg" TargetMode="External"/><Relationship Id="rId1123" Type="http://schemas.openxmlformats.org/officeDocument/2006/relationships/hyperlink" Target="https://www.youtube.com/watch?v=aIisJQxCj5k" TargetMode="External"/><Relationship Id="rId771" Type="http://schemas.openxmlformats.org/officeDocument/2006/relationships/hyperlink" Target="https://www.youtube.com/watch?v=ygsbwUkOdQg" TargetMode="External"/><Relationship Id="rId1124" Type="http://schemas.openxmlformats.org/officeDocument/2006/relationships/hyperlink" Target="https://i.ytimg.com/vi/aIisJQxCj5k/hqdefault.jpg" TargetMode="External"/><Relationship Id="rId1158" Type="http://schemas.openxmlformats.org/officeDocument/2006/relationships/hyperlink" Target="https://i.ytimg.com/vi/Gvt29XV5AAI/hqdefault.jpg" TargetMode="External"/><Relationship Id="rId1159" Type="http://schemas.openxmlformats.org/officeDocument/2006/relationships/hyperlink" Target="https://www.youtube.com/watch?v=uB4op8XOCUE" TargetMode="External"/><Relationship Id="rId327" Type="http://schemas.openxmlformats.org/officeDocument/2006/relationships/hyperlink" Target="https://www.youtube.com/watch?v=swDyLizs2jA" TargetMode="External"/><Relationship Id="rId569" Type="http://schemas.openxmlformats.org/officeDocument/2006/relationships/hyperlink" Target="https://www.youtube.com/watch?v=7Pft3aY1YA0" TargetMode="External"/><Relationship Id="rId326" Type="http://schemas.openxmlformats.org/officeDocument/2006/relationships/hyperlink" Target="https://i.ytimg.com/vi/pF42AWtabFI/hqdefault.jpg" TargetMode="External"/><Relationship Id="rId568" Type="http://schemas.openxmlformats.org/officeDocument/2006/relationships/hyperlink" Target="https://i.ytimg.com/vi/8i9-kmQKkLE/hqdefault.jpg" TargetMode="External"/><Relationship Id="rId325" Type="http://schemas.openxmlformats.org/officeDocument/2006/relationships/hyperlink" Target="https://www.youtube.com/watch?v=pF42AWtabFI" TargetMode="External"/><Relationship Id="rId567" Type="http://schemas.openxmlformats.org/officeDocument/2006/relationships/hyperlink" Target="https://www.youtube.com/watch?v=8i9-kmQKkLE" TargetMode="External"/><Relationship Id="rId324" Type="http://schemas.openxmlformats.org/officeDocument/2006/relationships/hyperlink" Target="https://i.ytimg.com/vi/W9xDft3OqCE/hqdefault.jpg" TargetMode="External"/><Relationship Id="rId566" Type="http://schemas.openxmlformats.org/officeDocument/2006/relationships/hyperlink" Target="https://i.ytimg.com/vi/DeUtKzP97Ig/hqdefault.jpg" TargetMode="External"/><Relationship Id="rId329" Type="http://schemas.openxmlformats.org/officeDocument/2006/relationships/hyperlink" Target="https://www.youtube.com/watch?v=nVLUy28FFa4" TargetMode="External"/><Relationship Id="rId328" Type="http://schemas.openxmlformats.org/officeDocument/2006/relationships/hyperlink" Target="https://i.ytimg.com/vi/swDyLizs2jA/hqdefault.jpg" TargetMode="External"/><Relationship Id="rId561" Type="http://schemas.openxmlformats.org/officeDocument/2006/relationships/hyperlink" Target="https://www.youtube.com/watch?v=flVD-o7l_2U" TargetMode="External"/><Relationship Id="rId1150" Type="http://schemas.openxmlformats.org/officeDocument/2006/relationships/hyperlink" Target="https://i.ytimg.com/vi/bnxoV7dIThw/hqdefault.jpg" TargetMode="External"/><Relationship Id="rId560" Type="http://schemas.openxmlformats.org/officeDocument/2006/relationships/hyperlink" Target="https://i.ytimg.com/vi/tMkFFa-lbRY/hqdefault.jpg" TargetMode="External"/><Relationship Id="rId1151" Type="http://schemas.openxmlformats.org/officeDocument/2006/relationships/hyperlink" Target="https://www.youtube.com/watch?v=b7c13BxH0RI" TargetMode="External"/><Relationship Id="rId1152" Type="http://schemas.openxmlformats.org/officeDocument/2006/relationships/hyperlink" Target="https://i.ytimg.com/vi/b7c13BxH0RI/hqdefault.jpg" TargetMode="External"/><Relationship Id="rId1153" Type="http://schemas.openxmlformats.org/officeDocument/2006/relationships/hyperlink" Target="https://www.youtube.com/watch?v=L-Xc3kXNibw" TargetMode="External"/><Relationship Id="rId323" Type="http://schemas.openxmlformats.org/officeDocument/2006/relationships/hyperlink" Target="https://www.youtube.com/watch?v=W9xDft3OqCE" TargetMode="External"/><Relationship Id="rId565" Type="http://schemas.openxmlformats.org/officeDocument/2006/relationships/hyperlink" Target="https://www.youtube.com/watch?v=DeUtKzP97Ig" TargetMode="External"/><Relationship Id="rId1154" Type="http://schemas.openxmlformats.org/officeDocument/2006/relationships/hyperlink" Target="https://i.ytimg.com/vi/L-Xc3kXNibw/hqdefault.jpg" TargetMode="External"/><Relationship Id="rId322" Type="http://schemas.openxmlformats.org/officeDocument/2006/relationships/hyperlink" Target="https://i.ytimg.com/vi/CYuVrI_LLB4/hqdefault.jpg" TargetMode="External"/><Relationship Id="rId564" Type="http://schemas.openxmlformats.org/officeDocument/2006/relationships/hyperlink" Target="https://i.ytimg.com/vi/ianHLwZE2cw/hqdefault.jpg" TargetMode="External"/><Relationship Id="rId1155" Type="http://schemas.openxmlformats.org/officeDocument/2006/relationships/hyperlink" Target="https://www.youtube.com/watch?v=L5342QyvBeY" TargetMode="External"/><Relationship Id="rId321" Type="http://schemas.openxmlformats.org/officeDocument/2006/relationships/hyperlink" Target="https://www.youtube.com/watch?v=CYuVrI_LLB4" TargetMode="External"/><Relationship Id="rId563" Type="http://schemas.openxmlformats.org/officeDocument/2006/relationships/hyperlink" Target="https://www.youtube.com/watch?v=ianHLwZE2cw" TargetMode="External"/><Relationship Id="rId1156" Type="http://schemas.openxmlformats.org/officeDocument/2006/relationships/hyperlink" Target="https://i.ytimg.com/vi/L5342QyvBeY/hqdefault.jpg" TargetMode="External"/><Relationship Id="rId320" Type="http://schemas.openxmlformats.org/officeDocument/2006/relationships/hyperlink" Target="https://i.ytimg.com/vi/Zk6L_D2cMO8/hqdefault.jpg" TargetMode="External"/><Relationship Id="rId562" Type="http://schemas.openxmlformats.org/officeDocument/2006/relationships/hyperlink" Target="https://i.ytimg.com/vi/flVD-o7l_2U/hqdefault.jpg" TargetMode="External"/><Relationship Id="rId1157" Type="http://schemas.openxmlformats.org/officeDocument/2006/relationships/hyperlink" Target="https://www.youtube.com/watch?v=Gvt29XV5AAI" TargetMode="External"/><Relationship Id="rId1147" Type="http://schemas.openxmlformats.org/officeDocument/2006/relationships/hyperlink" Target="https://www.youtube.com/watch?v=bpTqR06v6vI" TargetMode="External"/><Relationship Id="rId1148" Type="http://schemas.openxmlformats.org/officeDocument/2006/relationships/hyperlink" Target="https://i.ytimg.com/vi/bpTqR06v6vI/hqdefault.jpg" TargetMode="External"/><Relationship Id="rId1149" Type="http://schemas.openxmlformats.org/officeDocument/2006/relationships/hyperlink" Target="https://www.youtube.com/watch?v=bnxoV7dIThw" TargetMode="External"/><Relationship Id="rId316" Type="http://schemas.openxmlformats.org/officeDocument/2006/relationships/hyperlink" Target="https://i.ytimg.com/vi/0pF6so9kgog/hqdefault.jpg" TargetMode="External"/><Relationship Id="rId558" Type="http://schemas.openxmlformats.org/officeDocument/2006/relationships/hyperlink" Target="https://i.ytimg.com/vi/YJJAt8p-f34/hqdefault.jpg" TargetMode="External"/><Relationship Id="rId315" Type="http://schemas.openxmlformats.org/officeDocument/2006/relationships/hyperlink" Target="https://www.youtube.com/watch?v=0pF6so9kgog" TargetMode="External"/><Relationship Id="rId557" Type="http://schemas.openxmlformats.org/officeDocument/2006/relationships/hyperlink" Target="https://www.youtube.com/watch?v=YJJAt8p-f34" TargetMode="External"/><Relationship Id="rId799" Type="http://schemas.openxmlformats.org/officeDocument/2006/relationships/hyperlink" Target="https://www.youtube.com/watch?v=29y1cRiluRo" TargetMode="External"/><Relationship Id="rId314" Type="http://schemas.openxmlformats.org/officeDocument/2006/relationships/hyperlink" Target="https://i.ytimg.com/vi/GdE5gY6nt9E/hqdefault.jpg" TargetMode="External"/><Relationship Id="rId556" Type="http://schemas.openxmlformats.org/officeDocument/2006/relationships/hyperlink" Target="https://i.ytimg.com/vi/qwAWJGTP55k/hqdefault.jpg" TargetMode="External"/><Relationship Id="rId798" Type="http://schemas.openxmlformats.org/officeDocument/2006/relationships/hyperlink" Target="https://i.ytimg.com/vi/9Z7BNW3159s/hqdefault.jpg" TargetMode="External"/><Relationship Id="rId313" Type="http://schemas.openxmlformats.org/officeDocument/2006/relationships/hyperlink" Target="https://www.youtube.com/watch?v=GdE5gY6nt9E" TargetMode="External"/><Relationship Id="rId555" Type="http://schemas.openxmlformats.org/officeDocument/2006/relationships/hyperlink" Target="https://www.youtube.com/watch?v=qwAWJGTP55k" TargetMode="External"/><Relationship Id="rId797" Type="http://schemas.openxmlformats.org/officeDocument/2006/relationships/hyperlink" Target="https://www.youtube.com/watch?v=9Z7BNW3159s" TargetMode="External"/><Relationship Id="rId319" Type="http://schemas.openxmlformats.org/officeDocument/2006/relationships/hyperlink" Target="https://www.youtube.com/watch?v=Zk6L_D2cMO8" TargetMode="External"/><Relationship Id="rId318" Type="http://schemas.openxmlformats.org/officeDocument/2006/relationships/hyperlink" Target="https://i.ytimg.com/vi/675_QDc5eUw/hqdefault.jpg" TargetMode="External"/><Relationship Id="rId317" Type="http://schemas.openxmlformats.org/officeDocument/2006/relationships/hyperlink" Target="https://www.youtube.com/watch?v=675_QDc5eUw" TargetMode="External"/><Relationship Id="rId559" Type="http://schemas.openxmlformats.org/officeDocument/2006/relationships/hyperlink" Target="https://www.youtube.com/watch?v=tMkFFa-lbRY" TargetMode="External"/><Relationship Id="rId550" Type="http://schemas.openxmlformats.org/officeDocument/2006/relationships/hyperlink" Target="https://i.ytimg.com/vi/ZJLHTSbyOqM/hqdefault.jpg" TargetMode="External"/><Relationship Id="rId792" Type="http://schemas.openxmlformats.org/officeDocument/2006/relationships/hyperlink" Target="https://i.ytimg.com/vi/IXbxQj9I5HI/hqdefault.jpg" TargetMode="External"/><Relationship Id="rId791" Type="http://schemas.openxmlformats.org/officeDocument/2006/relationships/hyperlink" Target="https://www.youtube.com/watch?v=IXbxQj9I5HI" TargetMode="External"/><Relationship Id="rId1140" Type="http://schemas.openxmlformats.org/officeDocument/2006/relationships/hyperlink" Target="https://i.ytimg.com/vi/mrmc1Pgo5s0/hqdefault.jpg" TargetMode="External"/><Relationship Id="rId790" Type="http://schemas.openxmlformats.org/officeDocument/2006/relationships/hyperlink" Target="https://i.ytimg.com/vi/wQu1VIo2Ia4/hqdefault.jpg" TargetMode="External"/><Relationship Id="rId1141" Type="http://schemas.openxmlformats.org/officeDocument/2006/relationships/hyperlink" Target="https://www.youtube.com/watch?v=JiDDPzB8Ays" TargetMode="External"/><Relationship Id="rId1142" Type="http://schemas.openxmlformats.org/officeDocument/2006/relationships/hyperlink" Target="https://i.ytimg.com/vi/JiDDPzB8Ays/hqdefault.jpg" TargetMode="External"/><Relationship Id="rId312" Type="http://schemas.openxmlformats.org/officeDocument/2006/relationships/hyperlink" Target="https://i.ytimg.com/vi/PnXT0BCUF4M/hqdefault.jpg" TargetMode="External"/><Relationship Id="rId554" Type="http://schemas.openxmlformats.org/officeDocument/2006/relationships/hyperlink" Target="https://i.ytimg.com/vi/_-HKyyBt9VQ/hqdefault.jpg" TargetMode="External"/><Relationship Id="rId796" Type="http://schemas.openxmlformats.org/officeDocument/2006/relationships/hyperlink" Target="https://i.ytimg.com/vi/jNof-YwpVeI/hqdefault.jpg" TargetMode="External"/><Relationship Id="rId1143" Type="http://schemas.openxmlformats.org/officeDocument/2006/relationships/hyperlink" Target="https://www.youtube.com/watch?v=cQwC_cUM5mw" TargetMode="External"/><Relationship Id="rId311" Type="http://schemas.openxmlformats.org/officeDocument/2006/relationships/hyperlink" Target="https://www.youtube.com/watch?v=PnXT0BCUF4M" TargetMode="External"/><Relationship Id="rId553" Type="http://schemas.openxmlformats.org/officeDocument/2006/relationships/hyperlink" Target="https://www.youtube.com/watch?v=_-HKyyBt9VQ" TargetMode="External"/><Relationship Id="rId795" Type="http://schemas.openxmlformats.org/officeDocument/2006/relationships/hyperlink" Target="https://www.youtube.com/watch?v=jNof-YwpVeI" TargetMode="External"/><Relationship Id="rId1144" Type="http://schemas.openxmlformats.org/officeDocument/2006/relationships/hyperlink" Target="https://i.ytimg.com/vi/cQwC_cUM5mw/hqdefault.jpg" TargetMode="External"/><Relationship Id="rId310" Type="http://schemas.openxmlformats.org/officeDocument/2006/relationships/hyperlink" Target="https://i.ytimg.com/vi/UN1FNFq_R5c/hqdefault.jpg" TargetMode="External"/><Relationship Id="rId552" Type="http://schemas.openxmlformats.org/officeDocument/2006/relationships/hyperlink" Target="https://i.ytimg.com/vi/3dGaNNjmd8g/hqdefault.jpg" TargetMode="External"/><Relationship Id="rId794" Type="http://schemas.openxmlformats.org/officeDocument/2006/relationships/hyperlink" Target="https://i.ytimg.com/vi/7fgqVN2I_jE/hqdefault.jpg" TargetMode="External"/><Relationship Id="rId1145" Type="http://schemas.openxmlformats.org/officeDocument/2006/relationships/hyperlink" Target="https://www.youtube.com/watch?v=sAFpVKDktLI" TargetMode="External"/><Relationship Id="rId551" Type="http://schemas.openxmlformats.org/officeDocument/2006/relationships/hyperlink" Target="https://www.youtube.com/watch?v=3dGaNNjmd8g" TargetMode="External"/><Relationship Id="rId793" Type="http://schemas.openxmlformats.org/officeDocument/2006/relationships/hyperlink" Target="https://www.youtube.com/watch?v=7fgqVN2I_jE" TargetMode="External"/><Relationship Id="rId1146" Type="http://schemas.openxmlformats.org/officeDocument/2006/relationships/hyperlink" Target="https://i.ytimg.com/vi/sAFpVKDktLI/hqdefault.jpg" TargetMode="External"/><Relationship Id="rId297" Type="http://schemas.openxmlformats.org/officeDocument/2006/relationships/hyperlink" Target="https://www.youtube.com/watch?v=ksv1_Otcp6w" TargetMode="External"/><Relationship Id="rId296" Type="http://schemas.openxmlformats.org/officeDocument/2006/relationships/hyperlink" Target="https://i.ytimg.com/vi/gypy5ofHU2A/hqdefault.jpg" TargetMode="External"/><Relationship Id="rId295" Type="http://schemas.openxmlformats.org/officeDocument/2006/relationships/hyperlink" Target="https://www.youtube.com/watch?v=gypy5ofHU2A" TargetMode="External"/><Relationship Id="rId294" Type="http://schemas.openxmlformats.org/officeDocument/2006/relationships/hyperlink" Target="https://i.ytimg.com/vi/DQacRlsZDo0/hqdefault.jpg" TargetMode="External"/><Relationship Id="rId299" Type="http://schemas.openxmlformats.org/officeDocument/2006/relationships/hyperlink" Target="https://www.youtube.com/watch?v=Za2O6B4mIik" TargetMode="External"/><Relationship Id="rId298" Type="http://schemas.openxmlformats.org/officeDocument/2006/relationships/hyperlink" Target="https://i.ytimg.com/vi/ksv1_Otcp6w/hqdefault.jpg" TargetMode="External"/><Relationship Id="rId271" Type="http://schemas.openxmlformats.org/officeDocument/2006/relationships/hyperlink" Target="https://www.youtube.com/watch?v=Lm1o1yWSENk" TargetMode="External"/><Relationship Id="rId270" Type="http://schemas.openxmlformats.org/officeDocument/2006/relationships/hyperlink" Target="https://i.ytimg.com/vi/JdgXt4saeZU/hqdefault.jpg" TargetMode="External"/><Relationship Id="rId269" Type="http://schemas.openxmlformats.org/officeDocument/2006/relationships/hyperlink" Target="https://www.youtube.com/watch?v=JdgXt4saeZU" TargetMode="External"/><Relationship Id="rId264" Type="http://schemas.openxmlformats.org/officeDocument/2006/relationships/hyperlink" Target="https://i.ytimg.com/vi/bpXWTPa-erk/hqdefault.jpg" TargetMode="External"/><Relationship Id="rId263" Type="http://schemas.openxmlformats.org/officeDocument/2006/relationships/hyperlink" Target="https://www.youtube.com/watch?v=bpXWTPa-erk" TargetMode="External"/><Relationship Id="rId262" Type="http://schemas.openxmlformats.org/officeDocument/2006/relationships/hyperlink" Target="https://i.ytimg.com/vi/KCQpbZA84yU/hqdefault.jpg" TargetMode="External"/><Relationship Id="rId261" Type="http://schemas.openxmlformats.org/officeDocument/2006/relationships/hyperlink" Target="https://www.youtube.com/watch?v=KCQpbZA84yU" TargetMode="External"/><Relationship Id="rId268" Type="http://schemas.openxmlformats.org/officeDocument/2006/relationships/hyperlink" Target="https://i.ytimg.com/vi/ISTy-WcJfWE/hqdefault.jpg" TargetMode="External"/><Relationship Id="rId267" Type="http://schemas.openxmlformats.org/officeDocument/2006/relationships/hyperlink" Target="https://www.youtube.com/watch?v=ISTy-WcJfWE" TargetMode="External"/><Relationship Id="rId266" Type="http://schemas.openxmlformats.org/officeDocument/2006/relationships/hyperlink" Target="https://i.ytimg.com/vi/tuSsHT-YHec/hqdefault.jpg" TargetMode="External"/><Relationship Id="rId265" Type="http://schemas.openxmlformats.org/officeDocument/2006/relationships/hyperlink" Target="https://www.youtube.com/watch?v=tuSsHT-YHec" TargetMode="External"/><Relationship Id="rId260" Type="http://schemas.openxmlformats.org/officeDocument/2006/relationships/hyperlink" Target="https://i.ytimg.com/vi/GAfbM5gONHc/hqdefault.jpg" TargetMode="External"/><Relationship Id="rId259" Type="http://schemas.openxmlformats.org/officeDocument/2006/relationships/hyperlink" Target="https://www.youtube.com/watch?v=GAfbM5gONHc" TargetMode="External"/><Relationship Id="rId258" Type="http://schemas.openxmlformats.org/officeDocument/2006/relationships/hyperlink" Target="https://i.ytimg.com/vi/54u9wuZMGCE/hqdefault.jpg" TargetMode="External"/><Relationship Id="rId253" Type="http://schemas.openxmlformats.org/officeDocument/2006/relationships/hyperlink" Target="https://www.youtube.com/watch?v=myyI-Wpp_kg" TargetMode="External"/><Relationship Id="rId495" Type="http://schemas.openxmlformats.org/officeDocument/2006/relationships/hyperlink" Target="https://www.youtube.com/watch?v=dv8IJsq0TN0" TargetMode="External"/><Relationship Id="rId252" Type="http://schemas.openxmlformats.org/officeDocument/2006/relationships/hyperlink" Target="https://i.ytimg.com/vi/nePjL1PDhHk/hqdefault.jpg" TargetMode="External"/><Relationship Id="rId494" Type="http://schemas.openxmlformats.org/officeDocument/2006/relationships/hyperlink" Target="https://i.ytimg.com/vi/wmrqw8gVvCA/hqdefault.jpg" TargetMode="External"/><Relationship Id="rId251" Type="http://schemas.openxmlformats.org/officeDocument/2006/relationships/hyperlink" Target="https://www.youtube.com/watch?v=nePjL1PDhHk" TargetMode="External"/><Relationship Id="rId493" Type="http://schemas.openxmlformats.org/officeDocument/2006/relationships/hyperlink" Target="https://www.youtube.com/watch?v=wmrqw8gVvCA" TargetMode="External"/><Relationship Id="rId250" Type="http://schemas.openxmlformats.org/officeDocument/2006/relationships/hyperlink" Target="https://i.ytimg.com/vi/RiOP0YajFFg/hqdefault.jpg" TargetMode="External"/><Relationship Id="rId492" Type="http://schemas.openxmlformats.org/officeDocument/2006/relationships/hyperlink" Target="https://i.ytimg.com/vi/rzbGrEzL_nQ/hqdefault.jpg" TargetMode="External"/><Relationship Id="rId257" Type="http://schemas.openxmlformats.org/officeDocument/2006/relationships/hyperlink" Target="https://www.youtube.com/watch?v=54u9wuZMGCE" TargetMode="External"/><Relationship Id="rId499" Type="http://schemas.openxmlformats.org/officeDocument/2006/relationships/hyperlink" Target="https://www.youtube.com/watch?v=auJ6R8bVK_U" TargetMode="External"/><Relationship Id="rId256" Type="http://schemas.openxmlformats.org/officeDocument/2006/relationships/hyperlink" Target="https://i.ytimg.com/vi/D5iG6EiiVkc/hqdefault.jpg" TargetMode="External"/><Relationship Id="rId498" Type="http://schemas.openxmlformats.org/officeDocument/2006/relationships/hyperlink" Target="https://i.ytimg.com/vi/pDAPViwyp5o/hqdefault.jpg" TargetMode="External"/><Relationship Id="rId255" Type="http://schemas.openxmlformats.org/officeDocument/2006/relationships/hyperlink" Target="https://www.youtube.com/watch?v=D5iG6EiiVkc" TargetMode="External"/><Relationship Id="rId497" Type="http://schemas.openxmlformats.org/officeDocument/2006/relationships/hyperlink" Target="https://www.youtube.com/watch?v=pDAPViwyp5o" TargetMode="External"/><Relationship Id="rId254" Type="http://schemas.openxmlformats.org/officeDocument/2006/relationships/hyperlink" Target="https://i.ytimg.com/vi/myyI-Wpp_kg/hqdefault.jpg" TargetMode="External"/><Relationship Id="rId496" Type="http://schemas.openxmlformats.org/officeDocument/2006/relationships/hyperlink" Target="https://i.ytimg.com/vi/dv8IJsq0TN0/hqdefault.jpg" TargetMode="External"/><Relationship Id="rId293" Type="http://schemas.openxmlformats.org/officeDocument/2006/relationships/hyperlink" Target="https://www.youtube.com/watch?v=DQacRlsZDo0" TargetMode="External"/><Relationship Id="rId292" Type="http://schemas.openxmlformats.org/officeDocument/2006/relationships/hyperlink" Target="https://i.ytimg.com/vi/bYipeVuTN7U/hqdefault.jpg" TargetMode="External"/><Relationship Id="rId291" Type="http://schemas.openxmlformats.org/officeDocument/2006/relationships/hyperlink" Target="https://www.youtube.com/watch?v=bYipeVuTN7U" TargetMode="External"/><Relationship Id="rId290" Type="http://schemas.openxmlformats.org/officeDocument/2006/relationships/hyperlink" Target="https://i.ytimg.com/vi/eAI2Hq1JQzQ/hqdefault.jpg" TargetMode="External"/><Relationship Id="rId286" Type="http://schemas.openxmlformats.org/officeDocument/2006/relationships/hyperlink" Target="https://i.ytimg.com/vi/mYSAPVe1L1s/hqdefault.jpg" TargetMode="External"/><Relationship Id="rId285" Type="http://schemas.openxmlformats.org/officeDocument/2006/relationships/hyperlink" Target="https://www.youtube.com/watch?v=mYSAPVe1L1s" TargetMode="External"/><Relationship Id="rId284" Type="http://schemas.openxmlformats.org/officeDocument/2006/relationships/hyperlink" Target="https://i.ytimg.com/vi/8_oX0nzRlkI/hqdefault.jpg" TargetMode="External"/><Relationship Id="rId283" Type="http://schemas.openxmlformats.org/officeDocument/2006/relationships/hyperlink" Target="https://www.youtube.com/watch?v=8_oX0nzRlkI" TargetMode="External"/><Relationship Id="rId289" Type="http://schemas.openxmlformats.org/officeDocument/2006/relationships/hyperlink" Target="https://www.youtube.com/watch?v=eAI2Hq1JQzQ" TargetMode="External"/><Relationship Id="rId288" Type="http://schemas.openxmlformats.org/officeDocument/2006/relationships/hyperlink" Target="https://i.ytimg.com/vi/AKJLln-sxxI/hqdefault.jpg" TargetMode="External"/><Relationship Id="rId287" Type="http://schemas.openxmlformats.org/officeDocument/2006/relationships/hyperlink" Target="https://www.youtube.com/watch?v=AKJLln-sxxI" TargetMode="External"/><Relationship Id="rId282" Type="http://schemas.openxmlformats.org/officeDocument/2006/relationships/hyperlink" Target="https://i.ytimg.com/vi/beNUQunShgs/hqdefault.jpg" TargetMode="External"/><Relationship Id="rId281" Type="http://schemas.openxmlformats.org/officeDocument/2006/relationships/hyperlink" Target="https://www.youtube.com/watch?v=beNUQunShgs" TargetMode="External"/><Relationship Id="rId280" Type="http://schemas.openxmlformats.org/officeDocument/2006/relationships/hyperlink" Target="https://i.ytimg.com/vi/5Ab2AMWEEzU/hqdefault.jpg" TargetMode="External"/><Relationship Id="rId275" Type="http://schemas.openxmlformats.org/officeDocument/2006/relationships/hyperlink" Target="https://www.youtube.com/watch?v=bi3Ij1SBBtk" TargetMode="External"/><Relationship Id="rId274" Type="http://schemas.openxmlformats.org/officeDocument/2006/relationships/hyperlink" Target="https://i.ytimg.com/vi/PNzMVq3sHa8/hqdefault.jpg" TargetMode="External"/><Relationship Id="rId273" Type="http://schemas.openxmlformats.org/officeDocument/2006/relationships/hyperlink" Target="https://www.youtube.com/watch?v=PNzMVq3sHa8" TargetMode="External"/><Relationship Id="rId272" Type="http://schemas.openxmlformats.org/officeDocument/2006/relationships/hyperlink" Target="https://i.ytimg.com/vi/Lm1o1yWSENk/hqdefault.jpg" TargetMode="External"/><Relationship Id="rId279" Type="http://schemas.openxmlformats.org/officeDocument/2006/relationships/hyperlink" Target="https://www.youtube.com/watch?v=5Ab2AMWEEzU" TargetMode="External"/><Relationship Id="rId278" Type="http://schemas.openxmlformats.org/officeDocument/2006/relationships/hyperlink" Target="https://i.ytimg.com/vi/PHVuCaDABec/hqdefault.jpg" TargetMode="External"/><Relationship Id="rId277" Type="http://schemas.openxmlformats.org/officeDocument/2006/relationships/hyperlink" Target="https://www.youtube.com/watch?v=PHVuCaDABec" TargetMode="External"/><Relationship Id="rId276" Type="http://schemas.openxmlformats.org/officeDocument/2006/relationships/hyperlink" Target="https://i.ytimg.com/vi/bi3Ij1SBBtk/hqdefault.jpg" TargetMode="External"/><Relationship Id="rId907" Type="http://schemas.openxmlformats.org/officeDocument/2006/relationships/hyperlink" Target="https://www.youtube.com/watch?v=rIXaco9q1PU" TargetMode="External"/><Relationship Id="rId906" Type="http://schemas.openxmlformats.org/officeDocument/2006/relationships/hyperlink" Target="https://i.ytimg.com/vi/M2eESffQjbc/hqdefault.jpg" TargetMode="External"/><Relationship Id="rId905" Type="http://schemas.openxmlformats.org/officeDocument/2006/relationships/hyperlink" Target="https://www.youtube.com/watch?v=M2eESffQjbc" TargetMode="External"/><Relationship Id="rId904" Type="http://schemas.openxmlformats.org/officeDocument/2006/relationships/hyperlink" Target="https://i.ytimg.com/vi/dsn8qOlTqMs/hqdefault.jpg" TargetMode="External"/><Relationship Id="rId909" Type="http://schemas.openxmlformats.org/officeDocument/2006/relationships/hyperlink" Target="https://www.youtube.com/watch?v=w595pAY8kxo" TargetMode="External"/><Relationship Id="rId908" Type="http://schemas.openxmlformats.org/officeDocument/2006/relationships/hyperlink" Target="https://i.ytimg.com/vi/rIXaco9q1PU/hqdefault.jpg" TargetMode="External"/><Relationship Id="rId903" Type="http://schemas.openxmlformats.org/officeDocument/2006/relationships/hyperlink" Target="https://www.youtube.com/watch?v=dsn8qOlTqMs" TargetMode="External"/><Relationship Id="rId902" Type="http://schemas.openxmlformats.org/officeDocument/2006/relationships/hyperlink" Target="https://i.ytimg.com/vi/bFmOurzbBqY/hqdefault.jpg" TargetMode="External"/><Relationship Id="rId901" Type="http://schemas.openxmlformats.org/officeDocument/2006/relationships/hyperlink" Target="https://www.youtube.com/watch?v=bFmOurzbBqY" TargetMode="External"/><Relationship Id="rId900" Type="http://schemas.openxmlformats.org/officeDocument/2006/relationships/hyperlink" Target="https://i.ytimg.com/vi/6T04APrcMuo/hqdefault.jpg" TargetMode="External"/><Relationship Id="rId929" Type="http://schemas.openxmlformats.org/officeDocument/2006/relationships/hyperlink" Target="https://www.youtube.com/watch?v=UaQdmqK7SG4" TargetMode="External"/><Relationship Id="rId928" Type="http://schemas.openxmlformats.org/officeDocument/2006/relationships/hyperlink" Target="https://i.ytimg.com/vi/7dZcbglSEN8/hqdefault.jpg" TargetMode="External"/><Relationship Id="rId927" Type="http://schemas.openxmlformats.org/officeDocument/2006/relationships/hyperlink" Target="https://www.youtube.com/watch?v=7dZcbglSEN8" TargetMode="External"/><Relationship Id="rId926" Type="http://schemas.openxmlformats.org/officeDocument/2006/relationships/hyperlink" Target="https://i.ytimg.com/vi/veO9LT5eDXI/hqdefault.jpg" TargetMode="External"/><Relationship Id="rId921" Type="http://schemas.openxmlformats.org/officeDocument/2006/relationships/hyperlink" Target="https://www.youtube.com/watch?v=ByJ5cfSqWww" TargetMode="External"/><Relationship Id="rId920" Type="http://schemas.openxmlformats.org/officeDocument/2006/relationships/hyperlink" Target="https://i.ytimg.com/vi/fJJgKUw0CZc/hqdefault.jpg" TargetMode="External"/><Relationship Id="rId925" Type="http://schemas.openxmlformats.org/officeDocument/2006/relationships/hyperlink" Target="https://www.youtube.com/watch?v=veO9LT5eDXI" TargetMode="External"/><Relationship Id="rId924" Type="http://schemas.openxmlformats.org/officeDocument/2006/relationships/hyperlink" Target="https://i.ytimg.com/vi/0hT7FDjP_Sw/hqdefault.jpg" TargetMode="External"/><Relationship Id="rId923" Type="http://schemas.openxmlformats.org/officeDocument/2006/relationships/hyperlink" Target="https://www.youtube.com/watch?v=0hT7FDjP_Sw" TargetMode="External"/><Relationship Id="rId922" Type="http://schemas.openxmlformats.org/officeDocument/2006/relationships/hyperlink" Target="https://i.ytimg.com/vi/ByJ5cfSqWww/hqdefault.jpg" TargetMode="External"/><Relationship Id="rId918" Type="http://schemas.openxmlformats.org/officeDocument/2006/relationships/hyperlink" Target="https://i.ytimg.com/vi/Lhbepmpfyt4/hqdefault.jpg" TargetMode="External"/><Relationship Id="rId917" Type="http://schemas.openxmlformats.org/officeDocument/2006/relationships/hyperlink" Target="https://www.youtube.com/watch?v=Lhbepmpfyt4" TargetMode="External"/><Relationship Id="rId916" Type="http://schemas.openxmlformats.org/officeDocument/2006/relationships/hyperlink" Target="https://i.ytimg.com/vi/t9-yU98geXI/hqdefault.jpg" TargetMode="External"/><Relationship Id="rId915" Type="http://schemas.openxmlformats.org/officeDocument/2006/relationships/hyperlink" Target="https://www.youtube.com/watch?v=t9-yU98geXI" TargetMode="External"/><Relationship Id="rId919" Type="http://schemas.openxmlformats.org/officeDocument/2006/relationships/hyperlink" Target="https://www.youtube.com/watch?v=fJJgKUw0CZc" TargetMode="External"/><Relationship Id="rId910" Type="http://schemas.openxmlformats.org/officeDocument/2006/relationships/hyperlink" Target="https://i.ytimg.com/vi/w595pAY8kxo/hqdefault.jpg" TargetMode="External"/><Relationship Id="rId914" Type="http://schemas.openxmlformats.org/officeDocument/2006/relationships/hyperlink" Target="https://i.ytimg.com/vi/Iw7iCnsTiJA/hqdefault.jpg" TargetMode="External"/><Relationship Id="rId913" Type="http://schemas.openxmlformats.org/officeDocument/2006/relationships/hyperlink" Target="https://www.youtube.com/watch?v=Iw7iCnsTiJA" TargetMode="External"/><Relationship Id="rId912" Type="http://schemas.openxmlformats.org/officeDocument/2006/relationships/hyperlink" Target="https://i.ytimg.com/vi/aaPfqdQCsXM/hqdefault.jpg" TargetMode="External"/><Relationship Id="rId911" Type="http://schemas.openxmlformats.org/officeDocument/2006/relationships/hyperlink" Target="https://www.youtube.com/watch?v=aaPfqdQCsXM" TargetMode="External"/><Relationship Id="rId629" Type="http://schemas.openxmlformats.org/officeDocument/2006/relationships/hyperlink" Target="https://www.youtube.com/watch?v=bm09ZP-LY20" TargetMode="External"/><Relationship Id="rId624" Type="http://schemas.openxmlformats.org/officeDocument/2006/relationships/hyperlink" Target="https://i.ytimg.com/vi/Y5kduUrtFK0/hqdefault.jpg" TargetMode="External"/><Relationship Id="rId866" Type="http://schemas.openxmlformats.org/officeDocument/2006/relationships/hyperlink" Target="https://i.ytimg.com/vi/xfuZj9U-dAY/hqdefault.jpg" TargetMode="External"/><Relationship Id="rId623" Type="http://schemas.openxmlformats.org/officeDocument/2006/relationships/hyperlink" Target="https://www.youtube.com/watch?v=Y5kduUrtFK0" TargetMode="External"/><Relationship Id="rId865" Type="http://schemas.openxmlformats.org/officeDocument/2006/relationships/hyperlink" Target="https://www.youtube.com/watch?v=xfuZj9U-dAY" TargetMode="External"/><Relationship Id="rId622" Type="http://schemas.openxmlformats.org/officeDocument/2006/relationships/hyperlink" Target="https://i.ytimg.com/vi/8tzM8lrmN9o/hqdefault.jpg" TargetMode="External"/><Relationship Id="rId864" Type="http://schemas.openxmlformats.org/officeDocument/2006/relationships/hyperlink" Target="https://i.ytimg.com/vi/mRFEMktL-vQ/hqdefault.jpg" TargetMode="External"/><Relationship Id="rId621" Type="http://schemas.openxmlformats.org/officeDocument/2006/relationships/hyperlink" Target="https://www.youtube.com/watch?v=8tzM8lrmN9o" TargetMode="External"/><Relationship Id="rId863" Type="http://schemas.openxmlformats.org/officeDocument/2006/relationships/hyperlink" Target="https://www.youtube.com/watch?v=mRFEMktL-vQ" TargetMode="External"/><Relationship Id="rId628" Type="http://schemas.openxmlformats.org/officeDocument/2006/relationships/hyperlink" Target="https://i.ytimg.com/vi/5-QB5Fg9f8I/hqdefault.jpg" TargetMode="External"/><Relationship Id="rId627" Type="http://schemas.openxmlformats.org/officeDocument/2006/relationships/hyperlink" Target="https://www.youtube.com/watch?v=5-QB5Fg9f8I" TargetMode="External"/><Relationship Id="rId869" Type="http://schemas.openxmlformats.org/officeDocument/2006/relationships/hyperlink" Target="https://www.youtube.com/watch?v=aYXqCTxU2oY" TargetMode="External"/><Relationship Id="rId626" Type="http://schemas.openxmlformats.org/officeDocument/2006/relationships/hyperlink" Target="https://i.ytimg.com/vi/lXC0dbmEaW8/hqdefault.jpg" TargetMode="External"/><Relationship Id="rId868" Type="http://schemas.openxmlformats.org/officeDocument/2006/relationships/hyperlink" Target="https://i.ytimg.com/vi/OrF2mFRNveU/hqdefault.jpg" TargetMode="External"/><Relationship Id="rId625" Type="http://schemas.openxmlformats.org/officeDocument/2006/relationships/hyperlink" Target="https://www.youtube.com/watch?v=lXC0dbmEaW8" TargetMode="External"/><Relationship Id="rId867" Type="http://schemas.openxmlformats.org/officeDocument/2006/relationships/hyperlink" Target="https://www.youtube.com/watch?v=OrF2mFRNveU" TargetMode="External"/><Relationship Id="rId620" Type="http://schemas.openxmlformats.org/officeDocument/2006/relationships/hyperlink" Target="https://i.ytimg.com/vi/FQgc8SBQJns/hqdefault.jpg" TargetMode="External"/><Relationship Id="rId862" Type="http://schemas.openxmlformats.org/officeDocument/2006/relationships/hyperlink" Target="https://i.ytimg.com/vi/RJC-j3H6REU/hqdefault.jpg" TargetMode="External"/><Relationship Id="rId861" Type="http://schemas.openxmlformats.org/officeDocument/2006/relationships/hyperlink" Target="https://www.youtube.com/watch?v=RJC-j3H6REU" TargetMode="External"/><Relationship Id="rId860" Type="http://schemas.openxmlformats.org/officeDocument/2006/relationships/hyperlink" Target="https://i.ytimg.com/vi/I4yOlWK8yk0/hqdefault.jpg" TargetMode="External"/><Relationship Id="rId619" Type="http://schemas.openxmlformats.org/officeDocument/2006/relationships/hyperlink" Target="https://www.youtube.com/watch?v=FQgc8SBQJns" TargetMode="External"/><Relationship Id="rId618" Type="http://schemas.openxmlformats.org/officeDocument/2006/relationships/hyperlink" Target="https://i.ytimg.com/vi/geSZf8qVcLM/hqdefault.jpg" TargetMode="External"/><Relationship Id="rId613" Type="http://schemas.openxmlformats.org/officeDocument/2006/relationships/hyperlink" Target="https://www.youtube.com/watch?v=8V-F8s4knMY" TargetMode="External"/><Relationship Id="rId855" Type="http://schemas.openxmlformats.org/officeDocument/2006/relationships/hyperlink" Target="https://www.youtube.com/watch?v=pd85tVv7ynk" TargetMode="External"/><Relationship Id="rId612" Type="http://schemas.openxmlformats.org/officeDocument/2006/relationships/hyperlink" Target="https://i.ytimg.com/vi/tQKqIeTnTn8/hqdefault.jpg" TargetMode="External"/><Relationship Id="rId854" Type="http://schemas.openxmlformats.org/officeDocument/2006/relationships/hyperlink" Target="https://i.ytimg.com/vi/eo20sN2JZSo/hqdefault.jpg" TargetMode="External"/><Relationship Id="rId611" Type="http://schemas.openxmlformats.org/officeDocument/2006/relationships/hyperlink" Target="https://www.youtube.com/watch?v=tQKqIeTnTn8" TargetMode="External"/><Relationship Id="rId853" Type="http://schemas.openxmlformats.org/officeDocument/2006/relationships/hyperlink" Target="https://www.youtube.com/watch?v=eo20sN2JZSo" TargetMode="External"/><Relationship Id="rId610" Type="http://schemas.openxmlformats.org/officeDocument/2006/relationships/hyperlink" Target="https://i.ytimg.com/vi/nHtZng3AGl4/hqdefault.jpg" TargetMode="External"/><Relationship Id="rId852" Type="http://schemas.openxmlformats.org/officeDocument/2006/relationships/hyperlink" Target="https://i.ytimg.com/vi/mewITWCEuYQ/hqdefault.jpg" TargetMode="External"/><Relationship Id="rId617" Type="http://schemas.openxmlformats.org/officeDocument/2006/relationships/hyperlink" Target="https://www.youtube.com/watch?v=geSZf8qVcLM" TargetMode="External"/><Relationship Id="rId859" Type="http://schemas.openxmlformats.org/officeDocument/2006/relationships/hyperlink" Target="https://www.youtube.com/watch?v=I4yOlWK8yk0" TargetMode="External"/><Relationship Id="rId616" Type="http://schemas.openxmlformats.org/officeDocument/2006/relationships/hyperlink" Target="https://i.ytimg.com/vi/3t6tisQ3Yrk/hqdefault.jpg" TargetMode="External"/><Relationship Id="rId858" Type="http://schemas.openxmlformats.org/officeDocument/2006/relationships/hyperlink" Target="https://i.ytimg.com/vi/p8mcyRMpdQo/hqdefault.jpg" TargetMode="External"/><Relationship Id="rId615" Type="http://schemas.openxmlformats.org/officeDocument/2006/relationships/hyperlink" Target="https://www.youtube.com/watch?v=3t6tisQ3Yrk" TargetMode="External"/><Relationship Id="rId857" Type="http://schemas.openxmlformats.org/officeDocument/2006/relationships/hyperlink" Target="https://www.youtube.com/watch?v=p8mcyRMpdQo" TargetMode="External"/><Relationship Id="rId614" Type="http://schemas.openxmlformats.org/officeDocument/2006/relationships/hyperlink" Target="https://i.ytimg.com/vi/8V-F8s4knMY/hqdefault.jpg" TargetMode="External"/><Relationship Id="rId856" Type="http://schemas.openxmlformats.org/officeDocument/2006/relationships/hyperlink" Target="https://i.ytimg.com/vi/pd85tVv7ynk/hqdefault.jpg" TargetMode="External"/><Relationship Id="rId851" Type="http://schemas.openxmlformats.org/officeDocument/2006/relationships/hyperlink" Target="https://www.youtube.com/watch?v=mewITWCEuYQ" TargetMode="External"/><Relationship Id="rId850" Type="http://schemas.openxmlformats.org/officeDocument/2006/relationships/hyperlink" Target="https://i.ytimg.com/vi/kQ_uzTWCxTY/hqdefault.jpg" TargetMode="External"/><Relationship Id="rId409" Type="http://schemas.openxmlformats.org/officeDocument/2006/relationships/hyperlink" Target="https://www.youtube.com/watch?v=s6ZmGksZoEI" TargetMode="External"/><Relationship Id="rId404" Type="http://schemas.openxmlformats.org/officeDocument/2006/relationships/hyperlink" Target="https://i.ytimg.com/vi/etENnpC9Bm0/hqdefault.jpg" TargetMode="External"/><Relationship Id="rId646" Type="http://schemas.openxmlformats.org/officeDocument/2006/relationships/hyperlink" Target="https://i.ytimg.com/vi/vPTt6z0Muqk/hqdefault.jpg" TargetMode="External"/><Relationship Id="rId888" Type="http://schemas.openxmlformats.org/officeDocument/2006/relationships/hyperlink" Target="https://i.ytimg.com/vi/XRtXHACXcyM/hqdefault.jpg" TargetMode="External"/><Relationship Id="rId403" Type="http://schemas.openxmlformats.org/officeDocument/2006/relationships/hyperlink" Target="https://www.youtube.com/watch?v=etENnpC9Bm0" TargetMode="External"/><Relationship Id="rId645" Type="http://schemas.openxmlformats.org/officeDocument/2006/relationships/hyperlink" Target="https://www.youtube.com/watch?v=vPTt6z0Muqk" TargetMode="External"/><Relationship Id="rId887" Type="http://schemas.openxmlformats.org/officeDocument/2006/relationships/hyperlink" Target="https://www.youtube.com/watch?v=XRtXHACXcyM" TargetMode="External"/><Relationship Id="rId402" Type="http://schemas.openxmlformats.org/officeDocument/2006/relationships/hyperlink" Target="https://i.ytimg.com/vi/yE7JmUaTzH8/hqdefault.jpg" TargetMode="External"/><Relationship Id="rId644" Type="http://schemas.openxmlformats.org/officeDocument/2006/relationships/hyperlink" Target="https://i.ytimg.com/vi/SO_zYcHECYQ/hqdefault.jpg" TargetMode="External"/><Relationship Id="rId886" Type="http://schemas.openxmlformats.org/officeDocument/2006/relationships/hyperlink" Target="https://i.ytimg.com/vi/db7QvHtM_WY/hqdefault.jpg" TargetMode="External"/><Relationship Id="rId401" Type="http://schemas.openxmlformats.org/officeDocument/2006/relationships/hyperlink" Target="https://www.youtube.com/watch?v=yE7JmUaTzH8" TargetMode="External"/><Relationship Id="rId643" Type="http://schemas.openxmlformats.org/officeDocument/2006/relationships/hyperlink" Target="https://www.youtube.com/watch?v=SO_zYcHECYQ" TargetMode="External"/><Relationship Id="rId885" Type="http://schemas.openxmlformats.org/officeDocument/2006/relationships/hyperlink" Target="https://www.youtube.com/watch?v=db7QvHtM_WY" TargetMode="External"/><Relationship Id="rId408" Type="http://schemas.openxmlformats.org/officeDocument/2006/relationships/hyperlink" Target="https://i.ytimg.com/vi/TEH7wh0VyrU/hqdefault.jpg" TargetMode="External"/><Relationship Id="rId407" Type="http://schemas.openxmlformats.org/officeDocument/2006/relationships/hyperlink" Target="https://www.youtube.com/watch?v=TEH7wh0VyrU" TargetMode="External"/><Relationship Id="rId649" Type="http://schemas.openxmlformats.org/officeDocument/2006/relationships/hyperlink" Target="https://www.youtube.com/watch?v=Hi2jc2iH0fA" TargetMode="External"/><Relationship Id="rId406" Type="http://schemas.openxmlformats.org/officeDocument/2006/relationships/hyperlink" Target="https://i.ytimg.com/vi/bTDgYEnilto/hqdefault.jpg" TargetMode="External"/><Relationship Id="rId648" Type="http://schemas.openxmlformats.org/officeDocument/2006/relationships/hyperlink" Target="https://i.ytimg.com/vi/yVlFF0ckVXY/hqdefault.jpg" TargetMode="External"/><Relationship Id="rId405" Type="http://schemas.openxmlformats.org/officeDocument/2006/relationships/hyperlink" Target="https://www.youtube.com/watch?v=bTDgYEnilto" TargetMode="External"/><Relationship Id="rId647" Type="http://schemas.openxmlformats.org/officeDocument/2006/relationships/hyperlink" Target="https://www.youtube.com/watch?v=yVlFF0ckVXY" TargetMode="External"/><Relationship Id="rId889" Type="http://schemas.openxmlformats.org/officeDocument/2006/relationships/hyperlink" Target="https://www.youtube.com/watch?v=LDqGf_NUrTQ" TargetMode="External"/><Relationship Id="rId880" Type="http://schemas.openxmlformats.org/officeDocument/2006/relationships/hyperlink" Target="https://i.ytimg.com/vi/1bLRgdUdQXc/hqdefault.jpg" TargetMode="External"/><Relationship Id="rId400" Type="http://schemas.openxmlformats.org/officeDocument/2006/relationships/hyperlink" Target="https://i.ytimg.com/vi/XmRHFN1MbmU/hqdefault.jpg" TargetMode="External"/><Relationship Id="rId642" Type="http://schemas.openxmlformats.org/officeDocument/2006/relationships/hyperlink" Target="https://i.ytimg.com/vi/UEcMz14481k/hqdefault.jpg" TargetMode="External"/><Relationship Id="rId884" Type="http://schemas.openxmlformats.org/officeDocument/2006/relationships/hyperlink" Target="https://i.ytimg.com/vi/GinwzELoWqU/hqdefault.jpg" TargetMode="External"/><Relationship Id="rId641" Type="http://schemas.openxmlformats.org/officeDocument/2006/relationships/hyperlink" Target="https://www.youtube.com/watch?v=UEcMz14481k" TargetMode="External"/><Relationship Id="rId883" Type="http://schemas.openxmlformats.org/officeDocument/2006/relationships/hyperlink" Target="https://www.youtube.com/watch?v=GinwzELoWqU" TargetMode="External"/><Relationship Id="rId640" Type="http://schemas.openxmlformats.org/officeDocument/2006/relationships/hyperlink" Target="https://i.ytimg.com/vi/OhcSjEYeNxA/hqdefault.jpg" TargetMode="External"/><Relationship Id="rId882" Type="http://schemas.openxmlformats.org/officeDocument/2006/relationships/hyperlink" Target="https://i.ytimg.com/vi/CzxoI3fIKac/hqdefault.jpg" TargetMode="External"/><Relationship Id="rId881" Type="http://schemas.openxmlformats.org/officeDocument/2006/relationships/hyperlink" Target="https://www.youtube.com/watch?v=CzxoI3fIKac" TargetMode="External"/><Relationship Id="rId635" Type="http://schemas.openxmlformats.org/officeDocument/2006/relationships/hyperlink" Target="https://www.youtube.com/watch?v=-mHuZaU9dg4" TargetMode="External"/><Relationship Id="rId877" Type="http://schemas.openxmlformats.org/officeDocument/2006/relationships/hyperlink" Target="https://www.youtube.com/watch?v=Oulve6K3u7o" TargetMode="External"/><Relationship Id="rId634" Type="http://schemas.openxmlformats.org/officeDocument/2006/relationships/hyperlink" Target="https://i.ytimg.com/vi/y7Jg6vLkNSU/hqdefault.jpg" TargetMode="External"/><Relationship Id="rId876" Type="http://schemas.openxmlformats.org/officeDocument/2006/relationships/hyperlink" Target="https://i.ytimg.com/vi/I5w8FTdNZ6c/hqdefault.jpg" TargetMode="External"/><Relationship Id="rId633" Type="http://schemas.openxmlformats.org/officeDocument/2006/relationships/hyperlink" Target="https://www.youtube.com/watch?v=y7Jg6vLkNSU" TargetMode="External"/><Relationship Id="rId875" Type="http://schemas.openxmlformats.org/officeDocument/2006/relationships/hyperlink" Target="https://www.youtube.com/watch?v=I5w8FTdNZ6c" TargetMode="External"/><Relationship Id="rId632" Type="http://schemas.openxmlformats.org/officeDocument/2006/relationships/hyperlink" Target="https://i.ytimg.com/vi/A0fvgwxNh2Y/hqdefault.jpg" TargetMode="External"/><Relationship Id="rId874" Type="http://schemas.openxmlformats.org/officeDocument/2006/relationships/hyperlink" Target="https://i.ytimg.com/vi/cbHvaHFPXyo/hqdefault.jpg" TargetMode="External"/><Relationship Id="rId639" Type="http://schemas.openxmlformats.org/officeDocument/2006/relationships/hyperlink" Target="https://www.youtube.com/watch?v=OhcSjEYeNxA" TargetMode="External"/><Relationship Id="rId638" Type="http://schemas.openxmlformats.org/officeDocument/2006/relationships/hyperlink" Target="https://i.ytimg.com/vi/jpSuL17ZTnM/hqdefault.jpg" TargetMode="External"/><Relationship Id="rId637" Type="http://schemas.openxmlformats.org/officeDocument/2006/relationships/hyperlink" Target="https://www.youtube.com/watch?v=jpSuL17ZTnM" TargetMode="External"/><Relationship Id="rId879" Type="http://schemas.openxmlformats.org/officeDocument/2006/relationships/hyperlink" Target="https://www.youtube.com/watch?v=1bLRgdUdQXc" TargetMode="External"/><Relationship Id="rId636" Type="http://schemas.openxmlformats.org/officeDocument/2006/relationships/hyperlink" Target="https://i.ytimg.com/vi/-mHuZaU9dg4/hqdefault.jpg" TargetMode="External"/><Relationship Id="rId878" Type="http://schemas.openxmlformats.org/officeDocument/2006/relationships/hyperlink" Target="https://i.ytimg.com/vi/Oulve6K3u7o/hqdefault.jpg" TargetMode="External"/><Relationship Id="rId631" Type="http://schemas.openxmlformats.org/officeDocument/2006/relationships/hyperlink" Target="https://www.youtube.com/watch?v=A0fvgwxNh2Y" TargetMode="External"/><Relationship Id="rId873" Type="http://schemas.openxmlformats.org/officeDocument/2006/relationships/hyperlink" Target="https://www.youtube.com/watch?v=cbHvaHFPXyo" TargetMode="External"/><Relationship Id="rId630" Type="http://schemas.openxmlformats.org/officeDocument/2006/relationships/hyperlink" Target="https://i.ytimg.com/vi/bm09ZP-LY20/hqdefault.jpg" TargetMode="External"/><Relationship Id="rId872" Type="http://schemas.openxmlformats.org/officeDocument/2006/relationships/hyperlink" Target="https://i.ytimg.com/vi/y5qtUugsyxI/hqdefault.jpg" TargetMode="External"/><Relationship Id="rId871" Type="http://schemas.openxmlformats.org/officeDocument/2006/relationships/hyperlink" Target="https://www.youtube.com/watch?v=y5qtUugsyxI" TargetMode="External"/><Relationship Id="rId870" Type="http://schemas.openxmlformats.org/officeDocument/2006/relationships/hyperlink" Target="https://i.ytimg.com/vi/aYXqCTxU2oY/hqdefault.jpg" TargetMode="External"/><Relationship Id="rId829" Type="http://schemas.openxmlformats.org/officeDocument/2006/relationships/hyperlink" Target="https://www.youtube.com/watch?v=I16k08qxGyc" TargetMode="External"/><Relationship Id="rId828" Type="http://schemas.openxmlformats.org/officeDocument/2006/relationships/hyperlink" Target="https://i.ytimg.com/vi/5hrWZFbhm3o/hqdefault.jpg" TargetMode="External"/><Relationship Id="rId827" Type="http://schemas.openxmlformats.org/officeDocument/2006/relationships/hyperlink" Target="https://www.youtube.com/watch?v=5hrWZFbhm3o" TargetMode="External"/><Relationship Id="rId822" Type="http://schemas.openxmlformats.org/officeDocument/2006/relationships/hyperlink" Target="https://i.ytimg.com/vi/a2GbC2uOMF4/hqdefault.jpg" TargetMode="External"/><Relationship Id="rId821" Type="http://schemas.openxmlformats.org/officeDocument/2006/relationships/hyperlink" Target="https://www.youtube.com/watch?v=a2GbC2uOMF4" TargetMode="External"/><Relationship Id="rId820" Type="http://schemas.openxmlformats.org/officeDocument/2006/relationships/hyperlink" Target="https://i.ytimg.com/vi/1-bvRKeuU8g/hqdefault.jpg" TargetMode="External"/><Relationship Id="rId826" Type="http://schemas.openxmlformats.org/officeDocument/2006/relationships/hyperlink" Target="https://i.ytimg.com/vi/THVHPVcmzsg/hqdefault.jpg" TargetMode="External"/><Relationship Id="rId825" Type="http://schemas.openxmlformats.org/officeDocument/2006/relationships/hyperlink" Target="https://www.youtube.com/watch?v=THVHPVcmzsg" TargetMode="External"/><Relationship Id="rId824" Type="http://schemas.openxmlformats.org/officeDocument/2006/relationships/hyperlink" Target="https://i.ytimg.com/vi/JkQ7PR7_RF8/hqdefault.jpg" TargetMode="External"/><Relationship Id="rId823" Type="http://schemas.openxmlformats.org/officeDocument/2006/relationships/hyperlink" Target="https://www.youtube.com/watch?v=JkQ7PR7_RF8" TargetMode="External"/><Relationship Id="rId819" Type="http://schemas.openxmlformats.org/officeDocument/2006/relationships/hyperlink" Target="https://www.youtube.com/watch?v=1-bvRKeuU8g" TargetMode="External"/><Relationship Id="rId818" Type="http://schemas.openxmlformats.org/officeDocument/2006/relationships/hyperlink" Target="https://i.ytimg.com/vi/vUNn2xrNc4s/hqdefault.jpg" TargetMode="External"/><Relationship Id="rId817" Type="http://schemas.openxmlformats.org/officeDocument/2006/relationships/hyperlink" Target="https://www.youtube.com/watch?v=vUNn2xrNc4s" TargetMode="External"/><Relationship Id="rId816" Type="http://schemas.openxmlformats.org/officeDocument/2006/relationships/hyperlink" Target="https://i.ytimg.com/vi/bx9KPgj4WiU/hqdefault.jpg" TargetMode="External"/><Relationship Id="rId811" Type="http://schemas.openxmlformats.org/officeDocument/2006/relationships/hyperlink" Target="https://www.youtube.com/watch?v=aO46QhB8B0Q" TargetMode="External"/><Relationship Id="rId810" Type="http://schemas.openxmlformats.org/officeDocument/2006/relationships/hyperlink" Target="https://i.ytimg.com/vi/SPqLuRZNsRM/hqdefault.jpg" TargetMode="External"/><Relationship Id="rId815" Type="http://schemas.openxmlformats.org/officeDocument/2006/relationships/hyperlink" Target="https://www.youtube.com/watch?v=bx9KPgj4WiU" TargetMode="External"/><Relationship Id="rId814" Type="http://schemas.openxmlformats.org/officeDocument/2006/relationships/hyperlink" Target="https://i.ytimg.com/vi/k2sqB5RdxqY/hqdefault.jpg" TargetMode="External"/><Relationship Id="rId813" Type="http://schemas.openxmlformats.org/officeDocument/2006/relationships/hyperlink" Target="https://www.youtube.com/watch?v=k2sqB5RdxqY" TargetMode="External"/><Relationship Id="rId812" Type="http://schemas.openxmlformats.org/officeDocument/2006/relationships/hyperlink" Target="https://i.ytimg.com/vi/aO46QhB8B0Q/hqdefault.jpg" TargetMode="External"/><Relationship Id="rId609" Type="http://schemas.openxmlformats.org/officeDocument/2006/relationships/hyperlink" Target="https://www.youtube.com/watch?v=nHtZng3AGl4" TargetMode="External"/><Relationship Id="rId608" Type="http://schemas.openxmlformats.org/officeDocument/2006/relationships/hyperlink" Target="https://i.ytimg.com/vi/TjVMelbJ0-M/hqdefault.jpg" TargetMode="External"/><Relationship Id="rId607" Type="http://schemas.openxmlformats.org/officeDocument/2006/relationships/hyperlink" Target="https://www.youtube.com/watch?v=TjVMelbJ0-M" TargetMode="External"/><Relationship Id="rId849" Type="http://schemas.openxmlformats.org/officeDocument/2006/relationships/hyperlink" Target="https://www.youtube.com/watch?v=kQ_uzTWCxTY" TargetMode="External"/><Relationship Id="rId602" Type="http://schemas.openxmlformats.org/officeDocument/2006/relationships/hyperlink" Target="https://i.ytimg.com/vi/VNdfwuA9BSw/hqdefault.jpg" TargetMode="External"/><Relationship Id="rId844" Type="http://schemas.openxmlformats.org/officeDocument/2006/relationships/hyperlink" Target="https://i.ytimg.com/vi/S7-FwV8U56c/hqdefault.jpg" TargetMode="External"/><Relationship Id="rId601" Type="http://schemas.openxmlformats.org/officeDocument/2006/relationships/hyperlink" Target="https://www.youtube.com/watch?v=VNdfwuA9BSw" TargetMode="External"/><Relationship Id="rId843" Type="http://schemas.openxmlformats.org/officeDocument/2006/relationships/hyperlink" Target="https://www.youtube.com/watch?v=S7-FwV8U56c" TargetMode="External"/><Relationship Id="rId600" Type="http://schemas.openxmlformats.org/officeDocument/2006/relationships/hyperlink" Target="https://i.ytimg.com/vi/D1fbTn3ZlEo/hqdefault.jpg" TargetMode="External"/><Relationship Id="rId842" Type="http://schemas.openxmlformats.org/officeDocument/2006/relationships/hyperlink" Target="https://i.ytimg.com/vi/hdgjl62kSlY/hqdefault.jpg" TargetMode="External"/><Relationship Id="rId841" Type="http://schemas.openxmlformats.org/officeDocument/2006/relationships/hyperlink" Target="https://www.youtube.com/watch?v=hdgjl62kSlY" TargetMode="External"/><Relationship Id="rId606" Type="http://schemas.openxmlformats.org/officeDocument/2006/relationships/hyperlink" Target="https://i.ytimg.com/vi/JWVJ1J7-MVU/hqdefault.jpg" TargetMode="External"/><Relationship Id="rId848" Type="http://schemas.openxmlformats.org/officeDocument/2006/relationships/hyperlink" Target="https://i.ytimg.com/vi/rVjGVQMBhOI/hqdefault.jpg" TargetMode="External"/><Relationship Id="rId605" Type="http://schemas.openxmlformats.org/officeDocument/2006/relationships/hyperlink" Target="https://www.youtube.com/watch?v=JWVJ1J7-MVU" TargetMode="External"/><Relationship Id="rId847" Type="http://schemas.openxmlformats.org/officeDocument/2006/relationships/hyperlink" Target="https://www.youtube.com/watch?v=rVjGVQMBhOI" TargetMode="External"/><Relationship Id="rId604" Type="http://schemas.openxmlformats.org/officeDocument/2006/relationships/hyperlink" Target="https://i.ytimg.com/vi/7-SZRxh5Ikw/hqdefault.jpg" TargetMode="External"/><Relationship Id="rId846" Type="http://schemas.openxmlformats.org/officeDocument/2006/relationships/hyperlink" Target="https://i.ytimg.com/vi/B2xQTC4ff8A/hqdefault.jpg" TargetMode="External"/><Relationship Id="rId603" Type="http://schemas.openxmlformats.org/officeDocument/2006/relationships/hyperlink" Target="https://www.youtube.com/watch?v=7-SZRxh5Ikw" TargetMode="External"/><Relationship Id="rId845" Type="http://schemas.openxmlformats.org/officeDocument/2006/relationships/hyperlink" Target="https://www.youtube.com/watch?v=B2xQTC4ff8A" TargetMode="External"/><Relationship Id="rId840" Type="http://schemas.openxmlformats.org/officeDocument/2006/relationships/hyperlink" Target="https://i.ytimg.com/vi/lHrg-_DGeto/hqdefault.jpg" TargetMode="External"/><Relationship Id="rId839" Type="http://schemas.openxmlformats.org/officeDocument/2006/relationships/hyperlink" Target="https://www.youtube.com/watch?v=lHrg-_DGeto" TargetMode="External"/><Relationship Id="rId838" Type="http://schemas.openxmlformats.org/officeDocument/2006/relationships/hyperlink" Target="https://i.ytimg.com/vi/biOiFpvQikQ/hqdefault.jpg" TargetMode="External"/><Relationship Id="rId833" Type="http://schemas.openxmlformats.org/officeDocument/2006/relationships/hyperlink" Target="https://www.youtube.com/watch?v=n6esU5tIYiA" TargetMode="External"/><Relationship Id="rId832" Type="http://schemas.openxmlformats.org/officeDocument/2006/relationships/hyperlink" Target="https://i.ytimg.com/vi/opwt6R66OIo/hqdefault.jpg" TargetMode="External"/><Relationship Id="rId831" Type="http://schemas.openxmlformats.org/officeDocument/2006/relationships/hyperlink" Target="https://www.youtube.com/watch?v=opwt6R66OIo" TargetMode="External"/><Relationship Id="rId830" Type="http://schemas.openxmlformats.org/officeDocument/2006/relationships/hyperlink" Target="https://i.ytimg.com/vi/I16k08qxGyc/hqdefault.jpg" TargetMode="External"/><Relationship Id="rId837" Type="http://schemas.openxmlformats.org/officeDocument/2006/relationships/hyperlink" Target="https://www.youtube.com/watch?v=biOiFpvQikQ" TargetMode="External"/><Relationship Id="rId836" Type="http://schemas.openxmlformats.org/officeDocument/2006/relationships/hyperlink" Target="https://i.ytimg.com/vi/d10c1QDT5Zk/hqdefault.jpg" TargetMode="External"/><Relationship Id="rId835" Type="http://schemas.openxmlformats.org/officeDocument/2006/relationships/hyperlink" Target="https://www.youtube.com/watch?v=d10c1QDT5Zk" TargetMode="External"/><Relationship Id="rId834" Type="http://schemas.openxmlformats.org/officeDocument/2006/relationships/hyperlink" Target="https://i.ytimg.com/vi/n6esU5tIYiA/hqdefault.jpg" TargetMode="External"/><Relationship Id="rId1059" Type="http://schemas.openxmlformats.org/officeDocument/2006/relationships/hyperlink" Target="https://www.youtube.com/watch?v=6KgpGfwU0ZQ" TargetMode="External"/><Relationship Id="rId228" Type="http://schemas.openxmlformats.org/officeDocument/2006/relationships/hyperlink" Target="https://i.ytimg.com/vi/qjAhOvkzFlQ/hqdefault.jpg" TargetMode="External"/><Relationship Id="rId227" Type="http://schemas.openxmlformats.org/officeDocument/2006/relationships/hyperlink" Target="https://www.youtube.com/watch?v=qjAhOvkzFlQ" TargetMode="External"/><Relationship Id="rId469" Type="http://schemas.openxmlformats.org/officeDocument/2006/relationships/hyperlink" Target="https://www.youtube.com/watch?v=YaBrxDlp3SE" TargetMode="External"/><Relationship Id="rId226" Type="http://schemas.openxmlformats.org/officeDocument/2006/relationships/hyperlink" Target="https://i.ytimg.com/vi/RyI5f-EBc4c/hqdefault.jpg" TargetMode="External"/><Relationship Id="rId468" Type="http://schemas.openxmlformats.org/officeDocument/2006/relationships/hyperlink" Target="https://i.ytimg.com/vi/5GNLY5Y2Td0/hqdefault.jpg" TargetMode="External"/><Relationship Id="rId225" Type="http://schemas.openxmlformats.org/officeDocument/2006/relationships/hyperlink" Target="https://www.youtube.com/watch?v=RyI5f-EBc4c" TargetMode="External"/><Relationship Id="rId467" Type="http://schemas.openxmlformats.org/officeDocument/2006/relationships/hyperlink" Target="https://www.youtube.com/watch?v=5GNLY5Y2Td0" TargetMode="External"/><Relationship Id="rId229" Type="http://schemas.openxmlformats.org/officeDocument/2006/relationships/hyperlink" Target="https://www.youtube.com/watch?v=qUO-KMPShNw" TargetMode="External"/><Relationship Id="rId1050" Type="http://schemas.openxmlformats.org/officeDocument/2006/relationships/hyperlink" Target="https://i.ytimg.com/vi/j0230PstIm4/hqdefault.jpg" TargetMode="External"/><Relationship Id="rId220" Type="http://schemas.openxmlformats.org/officeDocument/2006/relationships/hyperlink" Target="https://i.ytimg.com/vi/kIacke9mYbY/hqdefault.jpg" TargetMode="External"/><Relationship Id="rId462" Type="http://schemas.openxmlformats.org/officeDocument/2006/relationships/hyperlink" Target="https://i.ytimg.com/vi/reujbgenfMo/hqdefault.jpg" TargetMode="External"/><Relationship Id="rId1051" Type="http://schemas.openxmlformats.org/officeDocument/2006/relationships/hyperlink" Target="https://www.youtube.com/watch?v=skreoWiQStU" TargetMode="External"/><Relationship Id="rId461" Type="http://schemas.openxmlformats.org/officeDocument/2006/relationships/hyperlink" Target="https://www.youtube.com/watch?v=reujbgenfMo" TargetMode="External"/><Relationship Id="rId1052" Type="http://schemas.openxmlformats.org/officeDocument/2006/relationships/hyperlink" Target="https://i.ytimg.com/vi/skreoWiQStU/hqdefault.jpg" TargetMode="External"/><Relationship Id="rId460" Type="http://schemas.openxmlformats.org/officeDocument/2006/relationships/hyperlink" Target="https://i.ytimg.com/vi/2KtDhrDNFjs/hqdefault.jpg" TargetMode="External"/><Relationship Id="rId1053" Type="http://schemas.openxmlformats.org/officeDocument/2006/relationships/hyperlink" Target="https://www.youtube.com/watch?v=OEOt03vFZtQ" TargetMode="External"/><Relationship Id="rId1054" Type="http://schemas.openxmlformats.org/officeDocument/2006/relationships/hyperlink" Target="https://i.ytimg.com/vi/OEOt03vFZtQ/hqdefault.jpg" TargetMode="External"/><Relationship Id="rId224" Type="http://schemas.openxmlformats.org/officeDocument/2006/relationships/hyperlink" Target="https://i.ytimg.com/vi/R_D3RHyHhpM/hqdefault.jpg" TargetMode="External"/><Relationship Id="rId466" Type="http://schemas.openxmlformats.org/officeDocument/2006/relationships/hyperlink" Target="https://i.ytimg.com/vi/t5lwfJB-s8g/hqdefault.jpg" TargetMode="External"/><Relationship Id="rId1055" Type="http://schemas.openxmlformats.org/officeDocument/2006/relationships/hyperlink" Target="https://www.youtube.com/watch?v=GcRDYHzixfw" TargetMode="External"/><Relationship Id="rId223" Type="http://schemas.openxmlformats.org/officeDocument/2006/relationships/hyperlink" Target="https://www.youtube.com/watch?v=R_D3RHyHhpM" TargetMode="External"/><Relationship Id="rId465" Type="http://schemas.openxmlformats.org/officeDocument/2006/relationships/hyperlink" Target="https://www.youtube.com/watch?v=t5lwfJB-s8g" TargetMode="External"/><Relationship Id="rId1056" Type="http://schemas.openxmlformats.org/officeDocument/2006/relationships/hyperlink" Target="https://i.ytimg.com/vi/GcRDYHzixfw/hqdefault.jpg" TargetMode="External"/><Relationship Id="rId222" Type="http://schemas.openxmlformats.org/officeDocument/2006/relationships/hyperlink" Target="https://i.ytimg.com/vi/rMlPcKzPZZY/hqdefault.jpg" TargetMode="External"/><Relationship Id="rId464" Type="http://schemas.openxmlformats.org/officeDocument/2006/relationships/hyperlink" Target="https://i.ytimg.com/vi/eRi6sTfpBHg/hqdefault.jpg" TargetMode="External"/><Relationship Id="rId1057" Type="http://schemas.openxmlformats.org/officeDocument/2006/relationships/hyperlink" Target="https://www.youtube.com/watch?v=TCSv0oVeJIM" TargetMode="External"/><Relationship Id="rId221" Type="http://schemas.openxmlformats.org/officeDocument/2006/relationships/hyperlink" Target="https://www.youtube.com/watch?v=rMlPcKzPZZY" TargetMode="External"/><Relationship Id="rId463" Type="http://schemas.openxmlformats.org/officeDocument/2006/relationships/hyperlink" Target="https://www.youtube.com/watch?v=eRi6sTfpBHg" TargetMode="External"/><Relationship Id="rId1058" Type="http://schemas.openxmlformats.org/officeDocument/2006/relationships/hyperlink" Target="https://i.ytimg.com/vi/TCSv0oVeJIM/hqdefault.jpg" TargetMode="External"/><Relationship Id="rId1048" Type="http://schemas.openxmlformats.org/officeDocument/2006/relationships/hyperlink" Target="https://i.ytimg.com/vi/LAOHRyZQnT8/hqdefault.jpg" TargetMode="External"/><Relationship Id="rId1049" Type="http://schemas.openxmlformats.org/officeDocument/2006/relationships/hyperlink" Target="https://www.youtube.com/watch?v=j0230PstIm4" TargetMode="External"/><Relationship Id="rId217" Type="http://schemas.openxmlformats.org/officeDocument/2006/relationships/hyperlink" Target="https://www.youtube.com/watch?v=Euefcm_2ZOE" TargetMode="External"/><Relationship Id="rId459" Type="http://schemas.openxmlformats.org/officeDocument/2006/relationships/hyperlink" Target="https://www.youtube.com/watch?v=2KtDhrDNFjs" TargetMode="External"/><Relationship Id="rId216" Type="http://schemas.openxmlformats.org/officeDocument/2006/relationships/hyperlink" Target="https://i.ytimg.com/vi/Ogzc20m5rhU/hqdefault.jpg" TargetMode="External"/><Relationship Id="rId458" Type="http://schemas.openxmlformats.org/officeDocument/2006/relationships/hyperlink" Target="https://i.ytimg.com/vi/IrjyPi8P-Ao/hqdefault.jpg" TargetMode="External"/><Relationship Id="rId215" Type="http://schemas.openxmlformats.org/officeDocument/2006/relationships/hyperlink" Target="https://www.youtube.com/watch?v=Ogzc20m5rhU" TargetMode="External"/><Relationship Id="rId457" Type="http://schemas.openxmlformats.org/officeDocument/2006/relationships/hyperlink" Target="https://www.youtube.com/watch?v=IrjyPi8P-Ao" TargetMode="External"/><Relationship Id="rId699" Type="http://schemas.openxmlformats.org/officeDocument/2006/relationships/hyperlink" Target="https://www.youtube.com/watch?v=MtIJZTFrmf8" TargetMode="External"/><Relationship Id="rId214" Type="http://schemas.openxmlformats.org/officeDocument/2006/relationships/hyperlink" Target="https://i.ytimg.com/vi/BvZDMHhcmcY/hqdefault.jpg" TargetMode="External"/><Relationship Id="rId456" Type="http://schemas.openxmlformats.org/officeDocument/2006/relationships/hyperlink" Target="https://i.ytimg.com/vi/6Cj8Ufssgnw/hqdefault.jpg" TargetMode="External"/><Relationship Id="rId698" Type="http://schemas.openxmlformats.org/officeDocument/2006/relationships/hyperlink" Target="https://i.ytimg.com/vi/Te33kVOpg78/hqdefault.jpg" TargetMode="External"/><Relationship Id="rId219" Type="http://schemas.openxmlformats.org/officeDocument/2006/relationships/hyperlink" Target="https://www.youtube.com/watch?v=kIacke9mYbY" TargetMode="External"/><Relationship Id="rId218" Type="http://schemas.openxmlformats.org/officeDocument/2006/relationships/hyperlink" Target="https://i.ytimg.com/vi/Euefcm_2ZOE/hqdefault.jpg" TargetMode="External"/><Relationship Id="rId451" Type="http://schemas.openxmlformats.org/officeDocument/2006/relationships/hyperlink" Target="https://www.youtube.com/watch?v=XtakSVxEbPc" TargetMode="External"/><Relationship Id="rId693" Type="http://schemas.openxmlformats.org/officeDocument/2006/relationships/hyperlink" Target="https://www.youtube.com/watch?v=SPHhPDR-Xl4" TargetMode="External"/><Relationship Id="rId1040" Type="http://schemas.openxmlformats.org/officeDocument/2006/relationships/hyperlink" Target="https://i.ytimg.com/vi/MvS2I6pmuJc/hqdefault.jpg" TargetMode="External"/><Relationship Id="rId450" Type="http://schemas.openxmlformats.org/officeDocument/2006/relationships/hyperlink" Target="https://i.ytimg.com/vi/hvkclBKE4c0/hqdefault.jpg" TargetMode="External"/><Relationship Id="rId692" Type="http://schemas.openxmlformats.org/officeDocument/2006/relationships/hyperlink" Target="https://i.ytimg.com/vi/4Fqq_N_0woM/hqdefault.jpg" TargetMode="External"/><Relationship Id="rId1041" Type="http://schemas.openxmlformats.org/officeDocument/2006/relationships/hyperlink" Target="https://www.youtube.com/watch?v=e3yCI94YOV0" TargetMode="External"/><Relationship Id="rId691" Type="http://schemas.openxmlformats.org/officeDocument/2006/relationships/hyperlink" Target="https://www.youtube.com/watch?v=4Fqq_N_0woM" TargetMode="External"/><Relationship Id="rId1042" Type="http://schemas.openxmlformats.org/officeDocument/2006/relationships/hyperlink" Target="https://i.ytimg.com/vi/e3yCI94YOV0/hqdefault.jpg" TargetMode="External"/><Relationship Id="rId690" Type="http://schemas.openxmlformats.org/officeDocument/2006/relationships/hyperlink" Target="https://i.ytimg.com/vi/eeuetQa67Os/hqdefault.jpg" TargetMode="External"/><Relationship Id="rId1043" Type="http://schemas.openxmlformats.org/officeDocument/2006/relationships/hyperlink" Target="https://www.youtube.com/watch?v=YZl-VS6sO7I" TargetMode="External"/><Relationship Id="rId213" Type="http://schemas.openxmlformats.org/officeDocument/2006/relationships/hyperlink" Target="https://www.youtube.com/watch?v=BvZDMHhcmcY" TargetMode="External"/><Relationship Id="rId455" Type="http://schemas.openxmlformats.org/officeDocument/2006/relationships/hyperlink" Target="https://www.youtube.com/watch?v=6Cj8Ufssgnw" TargetMode="External"/><Relationship Id="rId697" Type="http://schemas.openxmlformats.org/officeDocument/2006/relationships/hyperlink" Target="https://www.youtube.com/watch?v=Te33kVOpg78" TargetMode="External"/><Relationship Id="rId1044" Type="http://schemas.openxmlformats.org/officeDocument/2006/relationships/hyperlink" Target="https://i.ytimg.com/vi/YZl-VS6sO7I/hqdefault.jpg" TargetMode="External"/><Relationship Id="rId212" Type="http://schemas.openxmlformats.org/officeDocument/2006/relationships/hyperlink" Target="https://i.ytimg.com/vi/pNOPlcJXfS0/hqdefault.jpg" TargetMode="External"/><Relationship Id="rId454" Type="http://schemas.openxmlformats.org/officeDocument/2006/relationships/hyperlink" Target="https://i.ytimg.com/vi/WUsMUmE-j1E/hqdefault.jpg" TargetMode="External"/><Relationship Id="rId696" Type="http://schemas.openxmlformats.org/officeDocument/2006/relationships/hyperlink" Target="https://i.ytimg.com/vi/iAO45RNkVgw/hqdefault.jpg" TargetMode="External"/><Relationship Id="rId1045" Type="http://schemas.openxmlformats.org/officeDocument/2006/relationships/hyperlink" Target="https://www.youtube.com/watch?v=GplIt6OO47g" TargetMode="External"/><Relationship Id="rId211" Type="http://schemas.openxmlformats.org/officeDocument/2006/relationships/hyperlink" Target="https://www.youtube.com/watch?v=pNOPlcJXfS0" TargetMode="External"/><Relationship Id="rId453" Type="http://schemas.openxmlformats.org/officeDocument/2006/relationships/hyperlink" Target="https://www.youtube.com/watch?v=WUsMUmE-j1E" TargetMode="External"/><Relationship Id="rId695" Type="http://schemas.openxmlformats.org/officeDocument/2006/relationships/hyperlink" Target="https://www.youtube.com/watch?v=iAO45RNkVgw" TargetMode="External"/><Relationship Id="rId1046" Type="http://schemas.openxmlformats.org/officeDocument/2006/relationships/hyperlink" Target="https://i.ytimg.com/vi/GplIt6OO47g/hqdefault.jpg" TargetMode="External"/><Relationship Id="rId210" Type="http://schemas.openxmlformats.org/officeDocument/2006/relationships/hyperlink" Target="https://i.ytimg.com/vi/2xk96FcuwtU/hqdefault.jpg" TargetMode="External"/><Relationship Id="rId452" Type="http://schemas.openxmlformats.org/officeDocument/2006/relationships/hyperlink" Target="https://i.ytimg.com/vi/XtakSVxEbPc/hqdefault.jpg" TargetMode="External"/><Relationship Id="rId694" Type="http://schemas.openxmlformats.org/officeDocument/2006/relationships/hyperlink" Target="https://i.ytimg.com/vi/SPHhPDR-Xl4/hqdefault.jpg" TargetMode="External"/><Relationship Id="rId1047" Type="http://schemas.openxmlformats.org/officeDocument/2006/relationships/hyperlink" Target="https://www.youtube.com/watch?v=LAOHRyZQnT8" TargetMode="External"/><Relationship Id="rId491" Type="http://schemas.openxmlformats.org/officeDocument/2006/relationships/hyperlink" Target="https://www.youtube.com/watch?v=rzbGrEzL_nQ" TargetMode="External"/><Relationship Id="rId490" Type="http://schemas.openxmlformats.org/officeDocument/2006/relationships/hyperlink" Target="https://i.ytimg.com/vi/zS77gtbE8lI/hqdefault.jpg" TargetMode="External"/><Relationship Id="rId249" Type="http://schemas.openxmlformats.org/officeDocument/2006/relationships/hyperlink" Target="https://www.youtube.com/watch?v=RiOP0YajFFg" TargetMode="External"/><Relationship Id="rId248" Type="http://schemas.openxmlformats.org/officeDocument/2006/relationships/hyperlink" Target="https://i.ytimg.com/vi/NEtMwz2WIk4/hqdefault.jpg" TargetMode="External"/><Relationship Id="rId247" Type="http://schemas.openxmlformats.org/officeDocument/2006/relationships/hyperlink" Target="https://www.youtube.com/watch?v=NEtMwz2WIk4" TargetMode="External"/><Relationship Id="rId489" Type="http://schemas.openxmlformats.org/officeDocument/2006/relationships/hyperlink" Target="https://www.youtube.com/watch?v=zS77gtbE8lI" TargetMode="External"/><Relationship Id="rId1070" Type="http://schemas.openxmlformats.org/officeDocument/2006/relationships/hyperlink" Target="https://i.ytimg.com/vi/9kIDf5v8cNQ/hqdefault.jpg" TargetMode="External"/><Relationship Id="rId1071" Type="http://schemas.openxmlformats.org/officeDocument/2006/relationships/hyperlink" Target="https://www.youtube.com/watch?v=22CirRVmTiU" TargetMode="External"/><Relationship Id="rId1072" Type="http://schemas.openxmlformats.org/officeDocument/2006/relationships/hyperlink" Target="https://i.ytimg.com/vi/22CirRVmTiU/hqdefault.jpg" TargetMode="External"/><Relationship Id="rId242" Type="http://schemas.openxmlformats.org/officeDocument/2006/relationships/hyperlink" Target="https://i.ytimg.com/vi/jRw-YFeiiRA/hqdefault.jpg" TargetMode="External"/><Relationship Id="rId484" Type="http://schemas.openxmlformats.org/officeDocument/2006/relationships/hyperlink" Target="https://i.ytimg.com/vi/hBtLBd9ZHvU/hqdefault.jpg" TargetMode="External"/><Relationship Id="rId1073" Type="http://schemas.openxmlformats.org/officeDocument/2006/relationships/hyperlink" Target="https://www.youtube.com/watch?v=PhzPoVmqHT8" TargetMode="External"/><Relationship Id="rId241" Type="http://schemas.openxmlformats.org/officeDocument/2006/relationships/hyperlink" Target="https://www.youtube.com/watch?v=jRw-YFeiiRA" TargetMode="External"/><Relationship Id="rId483" Type="http://schemas.openxmlformats.org/officeDocument/2006/relationships/hyperlink" Target="https://www.youtube.com/watch?v=hBtLBd9ZHvU" TargetMode="External"/><Relationship Id="rId1074" Type="http://schemas.openxmlformats.org/officeDocument/2006/relationships/hyperlink" Target="https://i.ytimg.com/vi/PhzPoVmqHT8/hqdefault.jpg" TargetMode="External"/><Relationship Id="rId240" Type="http://schemas.openxmlformats.org/officeDocument/2006/relationships/hyperlink" Target="https://i.ytimg.com/vi/dNeCiS0T-1U/hqdefault.jpg" TargetMode="External"/><Relationship Id="rId482" Type="http://schemas.openxmlformats.org/officeDocument/2006/relationships/hyperlink" Target="https://i.ytimg.com/vi/ofjnnEyDJF8/hqdefault.jpg" TargetMode="External"/><Relationship Id="rId1075" Type="http://schemas.openxmlformats.org/officeDocument/2006/relationships/hyperlink" Target="https://www.youtube.com/watch?v=0drajMOCVQ4" TargetMode="External"/><Relationship Id="rId481" Type="http://schemas.openxmlformats.org/officeDocument/2006/relationships/hyperlink" Target="https://www.youtube.com/watch?v=ofjnnEyDJF8" TargetMode="External"/><Relationship Id="rId1076" Type="http://schemas.openxmlformats.org/officeDocument/2006/relationships/hyperlink" Target="https://i.ytimg.com/vi/0drajMOCVQ4/hqdefault.jpg" TargetMode="External"/><Relationship Id="rId246" Type="http://schemas.openxmlformats.org/officeDocument/2006/relationships/hyperlink" Target="https://i.ytimg.com/vi/ivHLaKG38qw/hqdefault.jpg" TargetMode="External"/><Relationship Id="rId488" Type="http://schemas.openxmlformats.org/officeDocument/2006/relationships/hyperlink" Target="https://i.ytimg.com/vi/ZV5p1TELQ04/hqdefault.jpg" TargetMode="External"/><Relationship Id="rId1077" Type="http://schemas.openxmlformats.org/officeDocument/2006/relationships/hyperlink" Target="https://www.youtube.com/watch?v=tbwsauXU_4U" TargetMode="External"/><Relationship Id="rId245" Type="http://schemas.openxmlformats.org/officeDocument/2006/relationships/hyperlink" Target="https://www.youtube.com/watch?v=ivHLaKG38qw" TargetMode="External"/><Relationship Id="rId487" Type="http://schemas.openxmlformats.org/officeDocument/2006/relationships/hyperlink" Target="https://www.youtube.com/watch?v=ZV5p1TELQ04" TargetMode="External"/><Relationship Id="rId1078" Type="http://schemas.openxmlformats.org/officeDocument/2006/relationships/hyperlink" Target="https://i.ytimg.com/vi/tbwsauXU_4U/hqdefault.jpg" TargetMode="External"/><Relationship Id="rId244" Type="http://schemas.openxmlformats.org/officeDocument/2006/relationships/hyperlink" Target="https://i.ytimg.com/vi/msg3FMVw_-s/hqdefault.jpg" TargetMode="External"/><Relationship Id="rId486" Type="http://schemas.openxmlformats.org/officeDocument/2006/relationships/hyperlink" Target="https://i.ytimg.com/vi/6OgdWgWl2YQ/hqdefault.jpg" TargetMode="External"/><Relationship Id="rId1079" Type="http://schemas.openxmlformats.org/officeDocument/2006/relationships/hyperlink" Target="https://www.youtube.com/watch?v=uuvfCdyJync" TargetMode="External"/><Relationship Id="rId243" Type="http://schemas.openxmlformats.org/officeDocument/2006/relationships/hyperlink" Target="https://www.youtube.com/watch?v=msg3FMVw_-s" TargetMode="External"/><Relationship Id="rId485" Type="http://schemas.openxmlformats.org/officeDocument/2006/relationships/hyperlink" Target="https://www.youtube.com/watch?v=6OgdWgWl2YQ" TargetMode="External"/><Relationship Id="rId480" Type="http://schemas.openxmlformats.org/officeDocument/2006/relationships/hyperlink" Target="https://i.ytimg.com/vi/hVS6C_q00j8/hqdefault.jpg" TargetMode="External"/><Relationship Id="rId239" Type="http://schemas.openxmlformats.org/officeDocument/2006/relationships/hyperlink" Target="https://www.youtube.com/watch?v=dNeCiS0T-1U" TargetMode="External"/><Relationship Id="rId238" Type="http://schemas.openxmlformats.org/officeDocument/2006/relationships/hyperlink" Target="https://i.ytimg.com/vi/BXI_odxl-hE/hqdefault.jpg" TargetMode="External"/><Relationship Id="rId237" Type="http://schemas.openxmlformats.org/officeDocument/2006/relationships/hyperlink" Target="https://www.youtube.com/watch?v=BXI_odxl-hE" TargetMode="External"/><Relationship Id="rId479" Type="http://schemas.openxmlformats.org/officeDocument/2006/relationships/hyperlink" Target="https://www.youtube.com/watch?v=hVS6C_q00j8" TargetMode="External"/><Relationship Id="rId236" Type="http://schemas.openxmlformats.org/officeDocument/2006/relationships/hyperlink" Target="https://i.ytimg.com/vi/N1LNvbTEbsQ/hqdefault.jpg" TargetMode="External"/><Relationship Id="rId478" Type="http://schemas.openxmlformats.org/officeDocument/2006/relationships/hyperlink" Target="https://i.ytimg.com/vi/tIdjgt-2IGw/hqdefault.jpg" TargetMode="External"/><Relationship Id="rId1060" Type="http://schemas.openxmlformats.org/officeDocument/2006/relationships/hyperlink" Target="https://i.ytimg.com/vi/6KgpGfwU0ZQ/hqdefault.jpg" TargetMode="External"/><Relationship Id="rId1061" Type="http://schemas.openxmlformats.org/officeDocument/2006/relationships/hyperlink" Target="https://www.youtube.com/watch?v=xX4E5KK92w4" TargetMode="External"/><Relationship Id="rId231" Type="http://schemas.openxmlformats.org/officeDocument/2006/relationships/hyperlink" Target="https://www.youtube.com/watch?v=V_1PBDemtME" TargetMode="External"/><Relationship Id="rId473" Type="http://schemas.openxmlformats.org/officeDocument/2006/relationships/hyperlink" Target="https://www.youtube.com/watch?v=2BK_s5PWdjU" TargetMode="External"/><Relationship Id="rId1062" Type="http://schemas.openxmlformats.org/officeDocument/2006/relationships/hyperlink" Target="https://i.ytimg.com/vi/xX4E5KK92w4/hqdefault.jpg" TargetMode="External"/><Relationship Id="rId230" Type="http://schemas.openxmlformats.org/officeDocument/2006/relationships/hyperlink" Target="https://i.ytimg.com/vi/qUO-KMPShNw/hqdefault.jpg" TargetMode="External"/><Relationship Id="rId472" Type="http://schemas.openxmlformats.org/officeDocument/2006/relationships/hyperlink" Target="https://i.ytimg.com/vi/LbS31EAzghQ/hqdefault.jpg" TargetMode="External"/><Relationship Id="rId1063" Type="http://schemas.openxmlformats.org/officeDocument/2006/relationships/hyperlink" Target="https://www.youtube.com/watch?v=7FO5FwzJ5h8" TargetMode="External"/><Relationship Id="rId471" Type="http://schemas.openxmlformats.org/officeDocument/2006/relationships/hyperlink" Target="https://www.youtube.com/watch?v=LbS31EAzghQ" TargetMode="External"/><Relationship Id="rId1064" Type="http://schemas.openxmlformats.org/officeDocument/2006/relationships/hyperlink" Target="https://i.ytimg.com/vi/7FO5FwzJ5h8/hqdefault.jpg" TargetMode="External"/><Relationship Id="rId470" Type="http://schemas.openxmlformats.org/officeDocument/2006/relationships/hyperlink" Target="https://i.ytimg.com/vi/YaBrxDlp3SE/hqdefault.jpg" TargetMode="External"/><Relationship Id="rId1065" Type="http://schemas.openxmlformats.org/officeDocument/2006/relationships/hyperlink" Target="https://www.youtube.com/watch?v=IiCLzJuO2bw" TargetMode="External"/><Relationship Id="rId235" Type="http://schemas.openxmlformats.org/officeDocument/2006/relationships/hyperlink" Target="https://www.youtube.com/watch?v=N1LNvbTEbsQ" TargetMode="External"/><Relationship Id="rId477" Type="http://schemas.openxmlformats.org/officeDocument/2006/relationships/hyperlink" Target="https://www.youtube.com/watch?v=tIdjgt-2IGw" TargetMode="External"/><Relationship Id="rId1066" Type="http://schemas.openxmlformats.org/officeDocument/2006/relationships/hyperlink" Target="https://i.ytimg.com/vi/IiCLzJuO2bw/hqdefault.jpg" TargetMode="External"/><Relationship Id="rId234" Type="http://schemas.openxmlformats.org/officeDocument/2006/relationships/hyperlink" Target="https://i.ytimg.com/vi/2ZBZDGDDt4I/hqdefault.jpg" TargetMode="External"/><Relationship Id="rId476" Type="http://schemas.openxmlformats.org/officeDocument/2006/relationships/hyperlink" Target="https://i.ytimg.com/vi/FWw4EmW0dWw/hqdefault.jpg" TargetMode="External"/><Relationship Id="rId1067" Type="http://schemas.openxmlformats.org/officeDocument/2006/relationships/hyperlink" Target="https://www.youtube.com/watch?v=N2OpYlwvRrg" TargetMode="External"/><Relationship Id="rId233" Type="http://schemas.openxmlformats.org/officeDocument/2006/relationships/hyperlink" Target="https://www.youtube.com/watch?v=2ZBZDGDDt4I" TargetMode="External"/><Relationship Id="rId475" Type="http://schemas.openxmlformats.org/officeDocument/2006/relationships/hyperlink" Target="https://www.youtube.com/watch?v=FWw4EmW0dWw" TargetMode="External"/><Relationship Id="rId1068" Type="http://schemas.openxmlformats.org/officeDocument/2006/relationships/hyperlink" Target="https://i.ytimg.com/vi/N2OpYlwvRrg/hqdefault.jpg" TargetMode="External"/><Relationship Id="rId232" Type="http://schemas.openxmlformats.org/officeDocument/2006/relationships/hyperlink" Target="https://i.ytimg.com/vi/V_1PBDemtME/hqdefault.jpg" TargetMode="External"/><Relationship Id="rId474" Type="http://schemas.openxmlformats.org/officeDocument/2006/relationships/hyperlink" Target="https://i.ytimg.com/vi/2BK_s5PWdjU/hqdefault.jpg" TargetMode="External"/><Relationship Id="rId1069" Type="http://schemas.openxmlformats.org/officeDocument/2006/relationships/hyperlink" Target="https://www.youtube.com/watch?v=9kIDf5v8cNQ" TargetMode="External"/><Relationship Id="rId1015" Type="http://schemas.openxmlformats.org/officeDocument/2006/relationships/hyperlink" Target="https://www.youtube.com/watch?v=r01O9GIX89w" TargetMode="External"/><Relationship Id="rId1016" Type="http://schemas.openxmlformats.org/officeDocument/2006/relationships/hyperlink" Target="https://i.ytimg.com/vi/r01O9GIX89w/hqdefault.jpg" TargetMode="External"/><Relationship Id="rId1017" Type="http://schemas.openxmlformats.org/officeDocument/2006/relationships/hyperlink" Target="https://www.youtube.com/watch?v=8VyLVpXETec" TargetMode="External"/><Relationship Id="rId1018" Type="http://schemas.openxmlformats.org/officeDocument/2006/relationships/hyperlink" Target="https://i.ytimg.com/vi/8VyLVpXETec/hqdefault.jpg" TargetMode="External"/><Relationship Id="rId1019" Type="http://schemas.openxmlformats.org/officeDocument/2006/relationships/hyperlink" Target="https://www.youtube.com/watch?v=tQZg9l3efBY" TargetMode="External"/><Relationship Id="rId426" Type="http://schemas.openxmlformats.org/officeDocument/2006/relationships/hyperlink" Target="https://i.ytimg.com/vi/cNX1uBhBTrY/hqdefault.jpg" TargetMode="External"/><Relationship Id="rId668" Type="http://schemas.openxmlformats.org/officeDocument/2006/relationships/hyperlink" Target="https://i.ytimg.com/vi/s0imnGs3JrQ/hqdefault.jpg" TargetMode="External"/><Relationship Id="rId425" Type="http://schemas.openxmlformats.org/officeDocument/2006/relationships/hyperlink" Target="https://www.youtube.com/watch?v=cNX1uBhBTrY" TargetMode="External"/><Relationship Id="rId667" Type="http://schemas.openxmlformats.org/officeDocument/2006/relationships/hyperlink" Target="https://www.youtube.com/watch?v=s0imnGs3JrQ" TargetMode="External"/><Relationship Id="rId424" Type="http://schemas.openxmlformats.org/officeDocument/2006/relationships/hyperlink" Target="https://i.ytimg.com/vi/u9RIpN9ggvw/hqdefault.jpg" TargetMode="External"/><Relationship Id="rId666" Type="http://schemas.openxmlformats.org/officeDocument/2006/relationships/hyperlink" Target="https://i.ytimg.com/vi/U-SPGk4KIPE/hqdefault.jpg" TargetMode="External"/><Relationship Id="rId423" Type="http://schemas.openxmlformats.org/officeDocument/2006/relationships/hyperlink" Target="https://www.youtube.com/watch?v=u9RIpN9ggvw" TargetMode="External"/><Relationship Id="rId665" Type="http://schemas.openxmlformats.org/officeDocument/2006/relationships/hyperlink" Target="https://www.youtube.com/watch?v=U-SPGk4KIPE" TargetMode="External"/><Relationship Id="rId429" Type="http://schemas.openxmlformats.org/officeDocument/2006/relationships/hyperlink" Target="https://www.youtube.com/watch?v=SO1PEL52H2k" TargetMode="External"/><Relationship Id="rId428" Type="http://schemas.openxmlformats.org/officeDocument/2006/relationships/hyperlink" Target="https://i.ytimg.com/vi/YMrp5PFVvCQ/hqdefault.jpg" TargetMode="External"/><Relationship Id="rId427" Type="http://schemas.openxmlformats.org/officeDocument/2006/relationships/hyperlink" Target="https://www.youtube.com/watch?v=YMrp5PFVvCQ" TargetMode="External"/><Relationship Id="rId669" Type="http://schemas.openxmlformats.org/officeDocument/2006/relationships/hyperlink" Target="https://www.youtube.com/watch?v=z9OO2y0bUD8" TargetMode="External"/><Relationship Id="rId660" Type="http://schemas.openxmlformats.org/officeDocument/2006/relationships/hyperlink" Target="https://i.ytimg.com/vi/L077kJVZI5w/hqdefault.jpg" TargetMode="External"/><Relationship Id="rId1010" Type="http://schemas.openxmlformats.org/officeDocument/2006/relationships/hyperlink" Target="https://i.ytimg.com/vi/zjHR1CqUi4g/hqdefault.jpg" TargetMode="External"/><Relationship Id="rId422" Type="http://schemas.openxmlformats.org/officeDocument/2006/relationships/hyperlink" Target="https://i.ytimg.com/vi/8l9DaiofDlA/hqdefault.jpg" TargetMode="External"/><Relationship Id="rId664" Type="http://schemas.openxmlformats.org/officeDocument/2006/relationships/hyperlink" Target="https://i.ytimg.com/vi/AZqudV39rMw/hqdefault.jpg" TargetMode="External"/><Relationship Id="rId1011" Type="http://schemas.openxmlformats.org/officeDocument/2006/relationships/hyperlink" Target="https://www.youtube.com/watch?v=7-nmaP8cZR4" TargetMode="External"/><Relationship Id="rId421" Type="http://schemas.openxmlformats.org/officeDocument/2006/relationships/hyperlink" Target="https://www.youtube.com/watch?v=8l9DaiofDlA" TargetMode="External"/><Relationship Id="rId663" Type="http://schemas.openxmlformats.org/officeDocument/2006/relationships/hyperlink" Target="https://www.youtube.com/watch?v=AZqudV39rMw" TargetMode="External"/><Relationship Id="rId1012" Type="http://schemas.openxmlformats.org/officeDocument/2006/relationships/hyperlink" Target="https://i.ytimg.com/vi/7-nmaP8cZR4/hqdefault.jpg" TargetMode="External"/><Relationship Id="rId420" Type="http://schemas.openxmlformats.org/officeDocument/2006/relationships/hyperlink" Target="https://i.ytimg.com/vi/D8XBAo6YjKs/hqdefault.jpg" TargetMode="External"/><Relationship Id="rId662" Type="http://schemas.openxmlformats.org/officeDocument/2006/relationships/hyperlink" Target="https://i.ytimg.com/vi/vyQMvszU-7M/hqdefault.jpg" TargetMode="External"/><Relationship Id="rId1013" Type="http://schemas.openxmlformats.org/officeDocument/2006/relationships/hyperlink" Target="https://www.youtube.com/watch?v=z-OveH_zgeA" TargetMode="External"/><Relationship Id="rId661" Type="http://schemas.openxmlformats.org/officeDocument/2006/relationships/hyperlink" Target="https://www.youtube.com/watch?v=vyQMvszU-7M" TargetMode="External"/><Relationship Id="rId1014" Type="http://schemas.openxmlformats.org/officeDocument/2006/relationships/hyperlink" Target="https://i.ytimg.com/vi/z-OveH_zgeA/hqdefault.jpg" TargetMode="External"/><Relationship Id="rId1004" Type="http://schemas.openxmlformats.org/officeDocument/2006/relationships/hyperlink" Target="https://i.ytimg.com/vi/hRjMG3fGbB4/hqdefault.jpg" TargetMode="External"/><Relationship Id="rId1005" Type="http://schemas.openxmlformats.org/officeDocument/2006/relationships/hyperlink" Target="https://www.youtube.com/watch?v=6tRfahNGXjk" TargetMode="External"/><Relationship Id="rId1006" Type="http://schemas.openxmlformats.org/officeDocument/2006/relationships/hyperlink" Target="https://i.ytimg.com/vi/6tRfahNGXjk/hqdefault.jpg" TargetMode="External"/><Relationship Id="rId1007" Type="http://schemas.openxmlformats.org/officeDocument/2006/relationships/hyperlink" Target="https://www.youtube.com/watch?v=YWL9boCbFRM" TargetMode="External"/><Relationship Id="rId1008" Type="http://schemas.openxmlformats.org/officeDocument/2006/relationships/hyperlink" Target="https://i.ytimg.com/vi/YWL9boCbFRM/hqdefault.jpg" TargetMode="External"/><Relationship Id="rId1009" Type="http://schemas.openxmlformats.org/officeDocument/2006/relationships/hyperlink" Target="https://www.youtube.com/watch?v=zjHR1CqUi4g" TargetMode="External"/><Relationship Id="rId415" Type="http://schemas.openxmlformats.org/officeDocument/2006/relationships/hyperlink" Target="https://www.youtube.com/watch?v=ZlDUqiSyozU" TargetMode="External"/><Relationship Id="rId657" Type="http://schemas.openxmlformats.org/officeDocument/2006/relationships/hyperlink" Target="https://www.youtube.com/watch?v=Mz-EbcUN3N0" TargetMode="External"/><Relationship Id="rId899" Type="http://schemas.openxmlformats.org/officeDocument/2006/relationships/hyperlink" Target="https://www.youtube.com/watch?v=6T04APrcMuo" TargetMode="External"/><Relationship Id="rId414" Type="http://schemas.openxmlformats.org/officeDocument/2006/relationships/hyperlink" Target="https://i.ytimg.com/vi/pFU7YBz9kVw/hqdefault.jpg" TargetMode="External"/><Relationship Id="rId656" Type="http://schemas.openxmlformats.org/officeDocument/2006/relationships/hyperlink" Target="https://i.ytimg.com/vi/mtud6N89uSs/hqdefault.jpg" TargetMode="External"/><Relationship Id="rId898" Type="http://schemas.openxmlformats.org/officeDocument/2006/relationships/hyperlink" Target="https://i.ytimg.com/vi/H6wAU3TovQg/hqdefault.jpg" TargetMode="External"/><Relationship Id="rId413" Type="http://schemas.openxmlformats.org/officeDocument/2006/relationships/hyperlink" Target="https://www.youtube.com/watch?v=pFU7YBz9kVw" TargetMode="External"/><Relationship Id="rId655" Type="http://schemas.openxmlformats.org/officeDocument/2006/relationships/hyperlink" Target="https://www.youtube.com/watch?v=mtud6N89uSs" TargetMode="External"/><Relationship Id="rId897" Type="http://schemas.openxmlformats.org/officeDocument/2006/relationships/hyperlink" Target="https://www.youtube.com/watch?v=H6wAU3TovQg" TargetMode="External"/><Relationship Id="rId412" Type="http://schemas.openxmlformats.org/officeDocument/2006/relationships/hyperlink" Target="https://i.ytimg.com/vi/7UtOQeACGQ0/hqdefault.jpg" TargetMode="External"/><Relationship Id="rId654" Type="http://schemas.openxmlformats.org/officeDocument/2006/relationships/hyperlink" Target="https://i.ytimg.com/vi/jGcJRbB-7gg/hqdefault.jpg" TargetMode="External"/><Relationship Id="rId896" Type="http://schemas.openxmlformats.org/officeDocument/2006/relationships/hyperlink" Target="https://i.ytimg.com/vi/k6ARCeU5nw8/hqdefault.jpg" TargetMode="External"/><Relationship Id="rId419" Type="http://schemas.openxmlformats.org/officeDocument/2006/relationships/hyperlink" Target="https://www.youtube.com/watch?v=D8XBAo6YjKs" TargetMode="External"/><Relationship Id="rId418" Type="http://schemas.openxmlformats.org/officeDocument/2006/relationships/hyperlink" Target="https://i.ytimg.com/vi/CVL_pYrkRpg/hqdefault.jpg" TargetMode="External"/><Relationship Id="rId417" Type="http://schemas.openxmlformats.org/officeDocument/2006/relationships/hyperlink" Target="https://www.youtube.com/watch?v=CVL_pYrkRpg" TargetMode="External"/><Relationship Id="rId659" Type="http://schemas.openxmlformats.org/officeDocument/2006/relationships/hyperlink" Target="https://www.youtube.com/watch?v=L077kJVZI5w" TargetMode="External"/><Relationship Id="rId416" Type="http://schemas.openxmlformats.org/officeDocument/2006/relationships/hyperlink" Target="https://i.ytimg.com/vi/ZlDUqiSyozU/hqdefault.jpg" TargetMode="External"/><Relationship Id="rId658" Type="http://schemas.openxmlformats.org/officeDocument/2006/relationships/hyperlink" Target="https://i.ytimg.com/vi/Mz-EbcUN3N0/hqdefault.jpg" TargetMode="External"/><Relationship Id="rId891" Type="http://schemas.openxmlformats.org/officeDocument/2006/relationships/hyperlink" Target="https://www.youtube.com/watch?v=JZo5ZtRMAU8" TargetMode="External"/><Relationship Id="rId890" Type="http://schemas.openxmlformats.org/officeDocument/2006/relationships/hyperlink" Target="https://i.ytimg.com/vi/LDqGf_NUrTQ/hqdefault.jpg" TargetMode="External"/><Relationship Id="rId411" Type="http://schemas.openxmlformats.org/officeDocument/2006/relationships/hyperlink" Target="https://www.youtube.com/watch?v=7UtOQeACGQ0" TargetMode="External"/><Relationship Id="rId653" Type="http://schemas.openxmlformats.org/officeDocument/2006/relationships/hyperlink" Target="https://www.youtube.com/watch?v=jGcJRbB-7gg" TargetMode="External"/><Relationship Id="rId895" Type="http://schemas.openxmlformats.org/officeDocument/2006/relationships/hyperlink" Target="https://www.youtube.com/watch?v=k6ARCeU5nw8" TargetMode="External"/><Relationship Id="rId1000" Type="http://schemas.openxmlformats.org/officeDocument/2006/relationships/hyperlink" Target="https://i.ytimg.com/vi/Xssm5v6UP-8/hqdefault.jpg" TargetMode="External"/><Relationship Id="rId410" Type="http://schemas.openxmlformats.org/officeDocument/2006/relationships/hyperlink" Target="https://i.ytimg.com/vi/s6ZmGksZoEI/hqdefault.jpg" TargetMode="External"/><Relationship Id="rId652" Type="http://schemas.openxmlformats.org/officeDocument/2006/relationships/hyperlink" Target="https://i.ytimg.com/vi/XEXadVFPK3k/hqdefault.jpg" TargetMode="External"/><Relationship Id="rId894" Type="http://schemas.openxmlformats.org/officeDocument/2006/relationships/hyperlink" Target="https://i.ytimg.com/vi/CPsvv2c8n7Q/hqdefault.jpg" TargetMode="External"/><Relationship Id="rId1001" Type="http://schemas.openxmlformats.org/officeDocument/2006/relationships/hyperlink" Target="https://www.youtube.com/watch?v=7g-FbW-O4Ck" TargetMode="External"/><Relationship Id="rId651" Type="http://schemas.openxmlformats.org/officeDocument/2006/relationships/hyperlink" Target="https://www.youtube.com/watch?v=XEXadVFPK3k" TargetMode="External"/><Relationship Id="rId893" Type="http://schemas.openxmlformats.org/officeDocument/2006/relationships/hyperlink" Target="https://www.youtube.com/watch?v=CPsvv2c8n7Q" TargetMode="External"/><Relationship Id="rId1002" Type="http://schemas.openxmlformats.org/officeDocument/2006/relationships/hyperlink" Target="https://i.ytimg.com/vi/7g-FbW-O4Ck/hqdefault.jpg" TargetMode="External"/><Relationship Id="rId650" Type="http://schemas.openxmlformats.org/officeDocument/2006/relationships/hyperlink" Target="https://i.ytimg.com/vi/Hi2jc2iH0fA/hqdefault.jpg" TargetMode="External"/><Relationship Id="rId892" Type="http://schemas.openxmlformats.org/officeDocument/2006/relationships/hyperlink" Target="https://i.ytimg.com/vi/JZo5ZtRMAU8/hqdefault.jpg" TargetMode="External"/><Relationship Id="rId1003" Type="http://schemas.openxmlformats.org/officeDocument/2006/relationships/hyperlink" Target="https://www.youtube.com/watch?v=hRjMG3fGbB4" TargetMode="External"/><Relationship Id="rId1037" Type="http://schemas.openxmlformats.org/officeDocument/2006/relationships/hyperlink" Target="https://www.youtube.com/watch?v=D7mfonU3-38" TargetMode="External"/><Relationship Id="rId1038" Type="http://schemas.openxmlformats.org/officeDocument/2006/relationships/hyperlink" Target="https://i.ytimg.com/vi/D7mfonU3-38/hqdefault.jpg" TargetMode="External"/><Relationship Id="rId1039" Type="http://schemas.openxmlformats.org/officeDocument/2006/relationships/hyperlink" Target="https://www.youtube.com/watch?v=MvS2I6pmuJc" TargetMode="External"/><Relationship Id="rId206" Type="http://schemas.openxmlformats.org/officeDocument/2006/relationships/hyperlink" Target="https://i.ytimg.com/vi/ip_vWNyLj5w/hqdefault.jpg" TargetMode="External"/><Relationship Id="rId448" Type="http://schemas.openxmlformats.org/officeDocument/2006/relationships/hyperlink" Target="https://i.ytimg.com/vi/MFEcaXFSa6I/hqdefault.jpg" TargetMode="External"/><Relationship Id="rId205" Type="http://schemas.openxmlformats.org/officeDocument/2006/relationships/hyperlink" Target="https://www.youtube.com/watch?v=ip_vWNyLj5w" TargetMode="External"/><Relationship Id="rId447" Type="http://schemas.openxmlformats.org/officeDocument/2006/relationships/hyperlink" Target="https://www.youtube.com/watch?v=MFEcaXFSa6I" TargetMode="External"/><Relationship Id="rId689" Type="http://schemas.openxmlformats.org/officeDocument/2006/relationships/hyperlink" Target="https://www.youtube.com/watch?v=eeuetQa67Os" TargetMode="External"/><Relationship Id="rId204" Type="http://schemas.openxmlformats.org/officeDocument/2006/relationships/hyperlink" Target="https://i.ytimg.com/vi/YWtnnGVxLOA/hqdefault.jpg" TargetMode="External"/><Relationship Id="rId446" Type="http://schemas.openxmlformats.org/officeDocument/2006/relationships/hyperlink" Target="https://i.ytimg.com/vi/w0MHBnIGTUQ/hqdefault.jpg" TargetMode="External"/><Relationship Id="rId688" Type="http://schemas.openxmlformats.org/officeDocument/2006/relationships/hyperlink" Target="https://i.ytimg.com/vi/1tZ2dzWjFxI/hqdefault.jpg" TargetMode="External"/><Relationship Id="rId203" Type="http://schemas.openxmlformats.org/officeDocument/2006/relationships/hyperlink" Target="https://www.youtube.com/watch?v=YWtnnGVxLOA" TargetMode="External"/><Relationship Id="rId445" Type="http://schemas.openxmlformats.org/officeDocument/2006/relationships/hyperlink" Target="https://www.youtube.com/watch?v=w0MHBnIGTUQ" TargetMode="External"/><Relationship Id="rId687" Type="http://schemas.openxmlformats.org/officeDocument/2006/relationships/hyperlink" Target="https://www.youtube.com/watch?v=1tZ2dzWjFxI" TargetMode="External"/><Relationship Id="rId209" Type="http://schemas.openxmlformats.org/officeDocument/2006/relationships/hyperlink" Target="https://www.youtube.com/watch?v=2xk96FcuwtU" TargetMode="External"/><Relationship Id="rId208" Type="http://schemas.openxmlformats.org/officeDocument/2006/relationships/hyperlink" Target="https://i.ytimg.com/vi/P_CcIGUxyK8/hqdefault.jpg" TargetMode="External"/><Relationship Id="rId207" Type="http://schemas.openxmlformats.org/officeDocument/2006/relationships/hyperlink" Target="https://www.youtube.com/watch?v=P_CcIGUxyK8" TargetMode="External"/><Relationship Id="rId449" Type="http://schemas.openxmlformats.org/officeDocument/2006/relationships/hyperlink" Target="https://www.youtube.com/watch?v=hvkclBKE4c0" TargetMode="External"/><Relationship Id="rId440" Type="http://schemas.openxmlformats.org/officeDocument/2006/relationships/hyperlink" Target="https://i.ytimg.com/vi/Fi_-l3FHl9A/hqdefault.jpg" TargetMode="External"/><Relationship Id="rId682" Type="http://schemas.openxmlformats.org/officeDocument/2006/relationships/hyperlink" Target="https://i.ytimg.com/vi/GN2n73TtNtw/hqdefault.jpg" TargetMode="External"/><Relationship Id="rId681" Type="http://schemas.openxmlformats.org/officeDocument/2006/relationships/hyperlink" Target="https://www.youtube.com/watch?v=GN2n73TtNtw" TargetMode="External"/><Relationship Id="rId1030" Type="http://schemas.openxmlformats.org/officeDocument/2006/relationships/hyperlink" Target="https://i.ytimg.com/vi/4OKcemAz8Rg/hqdefault.jpg" TargetMode="External"/><Relationship Id="rId680" Type="http://schemas.openxmlformats.org/officeDocument/2006/relationships/hyperlink" Target="https://i.ytimg.com/vi/1LVv3uj3hPo/hqdefault.jpg" TargetMode="External"/><Relationship Id="rId1031" Type="http://schemas.openxmlformats.org/officeDocument/2006/relationships/hyperlink" Target="https://www.youtube.com/watch?v=zWwR3uOmg3k" TargetMode="External"/><Relationship Id="rId1032" Type="http://schemas.openxmlformats.org/officeDocument/2006/relationships/hyperlink" Target="https://i.ytimg.com/vi/zWwR3uOmg3k/hqdefault.jpg" TargetMode="External"/><Relationship Id="rId202" Type="http://schemas.openxmlformats.org/officeDocument/2006/relationships/hyperlink" Target="https://i.ytimg.com/vi/u7Ek1KYAAbE/hqdefault.jpg" TargetMode="External"/><Relationship Id="rId444" Type="http://schemas.openxmlformats.org/officeDocument/2006/relationships/hyperlink" Target="https://i.ytimg.com/vi/cUH9Gl1eCBY/hqdefault.jpg" TargetMode="External"/><Relationship Id="rId686" Type="http://schemas.openxmlformats.org/officeDocument/2006/relationships/hyperlink" Target="https://i.ytimg.com/vi/v0jNDYjOrs4/hqdefault.jpg" TargetMode="External"/><Relationship Id="rId1033" Type="http://schemas.openxmlformats.org/officeDocument/2006/relationships/hyperlink" Target="https://www.youtube.com/watch?v=QAsgzPBrHao" TargetMode="External"/><Relationship Id="rId201" Type="http://schemas.openxmlformats.org/officeDocument/2006/relationships/hyperlink" Target="https://www.youtube.com/watch?v=u7Ek1KYAAbE" TargetMode="External"/><Relationship Id="rId443" Type="http://schemas.openxmlformats.org/officeDocument/2006/relationships/hyperlink" Target="https://www.youtube.com/watch?v=cUH9Gl1eCBY" TargetMode="External"/><Relationship Id="rId685" Type="http://schemas.openxmlformats.org/officeDocument/2006/relationships/hyperlink" Target="https://www.youtube.com/watch?v=v0jNDYjOrs4" TargetMode="External"/><Relationship Id="rId1034" Type="http://schemas.openxmlformats.org/officeDocument/2006/relationships/hyperlink" Target="https://i.ytimg.com/vi/QAsgzPBrHao/hqdefault.jpg" TargetMode="External"/><Relationship Id="rId200" Type="http://schemas.openxmlformats.org/officeDocument/2006/relationships/hyperlink" Target="https://i.ytimg.com/vi/A0BGtayaX9Y/hqdefault.jpg" TargetMode="External"/><Relationship Id="rId442" Type="http://schemas.openxmlformats.org/officeDocument/2006/relationships/hyperlink" Target="https://i.ytimg.com/vi/SCSVOHuHPU4/hqdefault.jpg" TargetMode="External"/><Relationship Id="rId684" Type="http://schemas.openxmlformats.org/officeDocument/2006/relationships/hyperlink" Target="https://i.ytimg.com/vi/mTOv_miz0UU/hqdefault.jpg" TargetMode="External"/><Relationship Id="rId1035" Type="http://schemas.openxmlformats.org/officeDocument/2006/relationships/hyperlink" Target="https://www.youtube.com/watch?v=vEs5u4LD0JA" TargetMode="External"/><Relationship Id="rId441" Type="http://schemas.openxmlformats.org/officeDocument/2006/relationships/hyperlink" Target="https://www.youtube.com/watch?v=SCSVOHuHPU4" TargetMode="External"/><Relationship Id="rId683" Type="http://schemas.openxmlformats.org/officeDocument/2006/relationships/hyperlink" Target="https://www.youtube.com/watch?v=mTOv_miz0UU" TargetMode="External"/><Relationship Id="rId1036" Type="http://schemas.openxmlformats.org/officeDocument/2006/relationships/hyperlink" Target="https://i.ytimg.com/vi/vEs5u4LD0JA/hqdefault.jpg" TargetMode="External"/><Relationship Id="rId1026" Type="http://schemas.openxmlformats.org/officeDocument/2006/relationships/hyperlink" Target="https://i.ytimg.com/vi/1aqC5pFhACo/hqdefault.jpg" TargetMode="External"/><Relationship Id="rId1027" Type="http://schemas.openxmlformats.org/officeDocument/2006/relationships/hyperlink" Target="https://www.youtube.com/watch?v=wSWgwcAkI-s" TargetMode="External"/><Relationship Id="rId1028" Type="http://schemas.openxmlformats.org/officeDocument/2006/relationships/hyperlink" Target="https://i.ytimg.com/vi/wSWgwcAkI-s/hqdefault.jpg" TargetMode="External"/><Relationship Id="rId1029" Type="http://schemas.openxmlformats.org/officeDocument/2006/relationships/hyperlink" Target="https://www.youtube.com/watch?v=4OKcemAz8Rg" TargetMode="External"/><Relationship Id="rId437" Type="http://schemas.openxmlformats.org/officeDocument/2006/relationships/hyperlink" Target="https://www.youtube.com/watch?v=H0OYZ7UZ6R4" TargetMode="External"/><Relationship Id="rId679" Type="http://schemas.openxmlformats.org/officeDocument/2006/relationships/hyperlink" Target="https://www.youtube.com/watch?v=1LVv3uj3hPo" TargetMode="External"/><Relationship Id="rId436" Type="http://schemas.openxmlformats.org/officeDocument/2006/relationships/hyperlink" Target="https://i.ytimg.com/vi/P-3fNHODjMU/hqdefault.jpg" TargetMode="External"/><Relationship Id="rId678" Type="http://schemas.openxmlformats.org/officeDocument/2006/relationships/hyperlink" Target="https://i.ytimg.com/vi/AmS6Kr-4G48/hqdefault.jpg" TargetMode="External"/><Relationship Id="rId435" Type="http://schemas.openxmlformats.org/officeDocument/2006/relationships/hyperlink" Target="https://www.youtube.com/watch?v=P-3fNHODjMU" TargetMode="External"/><Relationship Id="rId677" Type="http://schemas.openxmlformats.org/officeDocument/2006/relationships/hyperlink" Target="https://www.youtube.com/watch?v=AmS6Kr-4G48" TargetMode="External"/><Relationship Id="rId434" Type="http://schemas.openxmlformats.org/officeDocument/2006/relationships/hyperlink" Target="https://i.ytimg.com/vi/82xNJb5LPhg/hqdefault.jpg" TargetMode="External"/><Relationship Id="rId676" Type="http://schemas.openxmlformats.org/officeDocument/2006/relationships/hyperlink" Target="https://i.ytimg.com/vi/Q1mr-SsjcJ8/hqdefault.jpg" TargetMode="External"/><Relationship Id="rId439" Type="http://schemas.openxmlformats.org/officeDocument/2006/relationships/hyperlink" Target="https://www.youtube.com/watch?v=Fi_-l3FHl9A" TargetMode="External"/><Relationship Id="rId438" Type="http://schemas.openxmlformats.org/officeDocument/2006/relationships/hyperlink" Target="https://i.ytimg.com/vi/H0OYZ7UZ6R4/hqdefault.jpg" TargetMode="External"/><Relationship Id="rId671" Type="http://schemas.openxmlformats.org/officeDocument/2006/relationships/hyperlink" Target="https://www.youtube.com/watch?v=5SMxHDj9Ux4" TargetMode="External"/><Relationship Id="rId670" Type="http://schemas.openxmlformats.org/officeDocument/2006/relationships/hyperlink" Target="https://i.ytimg.com/vi/z9OO2y0bUD8/hqdefault.jpg" TargetMode="External"/><Relationship Id="rId1020" Type="http://schemas.openxmlformats.org/officeDocument/2006/relationships/hyperlink" Target="https://i.ytimg.com/vi/tQZg9l3efBY/hqdefault.jpg" TargetMode="External"/><Relationship Id="rId1021" Type="http://schemas.openxmlformats.org/officeDocument/2006/relationships/hyperlink" Target="https://www.youtube.com/watch?v=z4ELHllsiAE" TargetMode="External"/><Relationship Id="rId433" Type="http://schemas.openxmlformats.org/officeDocument/2006/relationships/hyperlink" Target="https://www.youtube.com/watch?v=82xNJb5LPhg" TargetMode="External"/><Relationship Id="rId675" Type="http://schemas.openxmlformats.org/officeDocument/2006/relationships/hyperlink" Target="https://www.youtube.com/watch?v=Q1mr-SsjcJ8" TargetMode="External"/><Relationship Id="rId1022" Type="http://schemas.openxmlformats.org/officeDocument/2006/relationships/hyperlink" Target="https://i.ytimg.com/vi/z4ELHllsiAE/hqdefault.jpg" TargetMode="External"/><Relationship Id="rId432" Type="http://schemas.openxmlformats.org/officeDocument/2006/relationships/hyperlink" Target="https://i.ytimg.com/vi/-DGQrvMgyIo/hqdefault.jpg" TargetMode="External"/><Relationship Id="rId674" Type="http://schemas.openxmlformats.org/officeDocument/2006/relationships/hyperlink" Target="https://i.ytimg.com/vi/RiXl8SHrXaU/hqdefault.jpg" TargetMode="External"/><Relationship Id="rId1023" Type="http://schemas.openxmlformats.org/officeDocument/2006/relationships/hyperlink" Target="https://www.youtube.com/watch?v=NLeV745YkHc" TargetMode="External"/><Relationship Id="rId431" Type="http://schemas.openxmlformats.org/officeDocument/2006/relationships/hyperlink" Target="https://www.youtube.com/watch?v=-DGQrvMgyIo" TargetMode="External"/><Relationship Id="rId673" Type="http://schemas.openxmlformats.org/officeDocument/2006/relationships/hyperlink" Target="https://www.youtube.com/watch?v=RiXl8SHrXaU" TargetMode="External"/><Relationship Id="rId1024" Type="http://schemas.openxmlformats.org/officeDocument/2006/relationships/hyperlink" Target="https://i.ytimg.com/vi/NLeV745YkHc/hqdefault.jpg" TargetMode="External"/><Relationship Id="rId430" Type="http://schemas.openxmlformats.org/officeDocument/2006/relationships/hyperlink" Target="https://i.ytimg.com/vi/SO1PEL52H2k/hqdefault.jpg" TargetMode="External"/><Relationship Id="rId672" Type="http://schemas.openxmlformats.org/officeDocument/2006/relationships/hyperlink" Target="https://i.ytimg.com/vi/5SMxHDj9Ux4/hqdefault.jpg" TargetMode="External"/><Relationship Id="rId1025" Type="http://schemas.openxmlformats.org/officeDocument/2006/relationships/hyperlink" Target="https://www.youtube.com/watch?v=1aqC5pFhACo"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75"/>
    <col customWidth="1" min="2" max="2" width="40.5"/>
    <col customWidth="1" min="10" max="10" width="40.0"/>
    <col customWidth="1" min="11" max="11" width="17.25"/>
    <col customWidth="1" min="12" max="12" width="14.0"/>
    <col customWidth="1" min="13" max="13" width="14.13"/>
    <col customWidth="1" min="14" max="14" width="30.38"/>
  </cols>
  <sheetData>
    <row r="1">
      <c r="A1" s="1" t="s">
        <v>0</v>
      </c>
      <c r="B1" s="1" t="s">
        <v>1</v>
      </c>
      <c r="C1" s="1" t="s">
        <v>2</v>
      </c>
      <c r="D1" s="1" t="s">
        <v>3</v>
      </c>
      <c r="E1" s="1" t="s">
        <v>4</v>
      </c>
      <c r="F1" s="1" t="s">
        <v>5</v>
      </c>
      <c r="G1" s="1" t="s">
        <v>6</v>
      </c>
      <c r="H1" s="1" t="s">
        <v>7</v>
      </c>
      <c r="I1" s="1" t="s">
        <v>8</v>
      </c>
      <c r="J1" s="1" t="s">
        <v>9</v>
      </c>
      <c r="K1" s="1" t="s">
        <v>10</v>
      </c>
      <c r="L1" s="2" t="s">
        <v>11</v>
      </c>
      <c r="M1" s="1" t="s">
        <v>12</v>
      </c>
      <c r="N1" s="1" t="s">
        <v>13</v>
      </c>
    </row>
    <row r="2" ht="15.75" customHeight="1">
      <c r="A2" s="1" t="s">
        <v>14</v>
      </c>
      <c r="B2" s="3" t="s">
        <v>15</v>
      </c>
      <c r="C2" s="1" t="s">
        <v>16</v>
      </c>
      <c r="D2" s="1" t="s">
        <v>17</v>
      </c>
      <c r="E2" s="4">
        <v>46012.0</v>
      </c>
      <c r="F2" s="5">
        <v>0.45416666666666666</v>
      </c>
      <c r="G2" s="1">
        <v>2718.0</v>
      </c>
      <c r="H2" s="1">
        <v>170.0</v>
      </c>
      <c r="I2" s="1">
        <v>6.0</v>
      </c>
      <c r="J2" s="3" t="s">
        <v>18</v>
      </c>
      <c r="K2" s="6">
        <f t="shared" ref="K2:K584" si="1">IF(G2&gt;0,(H2+I2)/G2*100,0)</f>
        <v>6.475349522</v>
      </c>
      <c r="L2" s="7">
        <f t="shared" ref="L2:L584" si="2">F2*1440</f>
        <v>654</v>
      </c>
      <c r="M2" s="8">
        <f t="shared" ref="M2:M584" si="3">E2-WEEKDAY(E2,2)+1
</f>
        <v>46006</v>
      </c>
      <c r="N2" s="9" t="str">
        <f>IFERROR(__xludf.DUMMYFUNCTION("IFS(
REGEXMATCH(LOWER(A2),""option|options""),""Options Strategy Education"",
REGEXMATCH(LOWER(A2),""bank nifty|nifty|index""),""Index Options"",
REGEXMATCH(LOWER(A2),""algo|api|systematic""),""Algo Trading / API Tutorial"",
REGEXMATCH(LOWER(A2),""groww|m"&amp;"tf|margin|pledge""),""Platform / Groww Feature Tutorial"",
REGEXMATCH(LOWER(A2),""candlestick|chart|price action|trendline|rsi|indicator""),""Technical Analysis / Chart Patterns"",
REGEXMATCH(LOWER(A2),""beginner|guide|start trading""),""Beginner Trading "&amp;"Education"",
REGEXMATCH(LOWER(A2),""interview|journey|talks|wisdom""),""Expert Interview / Trading Insights"",
REGEXMATCH(LOWER(A2),""risk|loss|drawdown|psychology""),""Trading Psychology / Risk Management"",
REGEXMATCH(LOWER(A2),""commodity|crude|gold|na"&amp;"tural gas""),""Commodity Trading Education"",
TRUE,""General Trading Education""
)
"),"Beginner Trading Education")</f>
        <v>Beginner Trading Education</v>
      </c>
    </row>
    <row r="3" ht="15.75" customHeight="1">
      <c r="A3" s="1" t="s">
        <v>19</v>
      </c>
      <c r="B3" s="3" t="s">
        <v>20</v>
      </c>
      <c r="C3" s="1" t="s">
        <v>21</v>
      </c>
      <c r="D3" s="1" t="s">
        <v>22</v>
      </c>
      <c r="E3" s="4">
        <v>46009.0</v>
      </c>
      <c r="F3" s="5">
        <v>0.1</v>
      </c>
      <c r="G3" s="1">
        <v>2408.0</v>
      </c>
      <c r="H3" s="1">
        <v>104.0</v>
      </c>
      <c r="I3" s="1">
        <v>10.0</v>
      </c>
      <c r="J3" s="3" t="s">
        <v>23</v>
      </c>
      <c r="K3" s="6">
        <f t="shared" si="1"/>
        <v>4.734219269</v>
      </c>
      <c r="L3" s="7">
        <f t="shared" si="2"/>
        <v>144</v>
      </c>
      <c r="M3" s="8">
        <f t="shared" si="3"/>
        <v>46006</v>
      </c>
      <c r="N3" s="9" t="str">
        <f>IFERROR(__xludf.DUMMYFUNCTION("IFS(
REGEXMATCH(LOWER(A3),""option|options""),""Options Strategy Education"",
REGEXMATCH(LOWER(A3),""bank nifty|nifty|index""),""Index Options"",
REGEXMATCH(LOWER(A3),""algo|api|systematic""),""Algo Trading / API Tutorial"",
REGEXMATCH(LOWER(A3),""groww|m"&amp;"tf|margin|pledge""),""Platform / Groww Feature Tutorial"",
REGEXMATCH(LOWER(A3),""candlestick|chart|price action|trendline|rsi|indicator""),""Technical Analysis / Chart Patterns"",
REGEXMATCH(LOWER(A3),""beginner|guide|start trading""),""Beginner Trading "&amp;"Education"",
REGEXMATCH(LOWER(A3),""interview|journey|talks|wisdom""),""Expert Interview / Trading Insights"",
REGEXMATCH(LOWER(A3),""risk|loss|drawdown|psychology""),""Trading Psychology / Risk Management"",
REGEXMATCH(LOWER(A3),""commodity|crude|gold|na"&amp;"tural gas""),""Commodity Trading Education"",
TRUE,""General Trading Education""
)
"),"Platform / Groww Feature Tutorial")</f>
        <v>Platform / Groww Feature Tutorial</v>
      </c>
    </row>
    <row r="4" ht="15.75" customHeight="1">
      <c r="A4" s="1" t="s">
        <v>24</v>
      </c>
      <c r="B4" s="3" t="s">
        <v>25</v>
      </c>
      <c r="C4" s="1" t="s">
        <v>26</v>
      </c>
      <c r="D4" s="1" t="s">
        <v>27</v>
      </c>
      <c r="E4" s="4">
        <v>46008.0</v>
      </c>
      <c r="F4" s="5">
        <v>0.3541666666666667</v>
      </c>
      <c r="G4" s="1">
        <v>2430.0</v>
      </c>
      <c r="H4" s="1">
        <v>107.0</v>
      </c>
      <c r="I4" s="1">
        <v>3.0</v>
      </c>
      <c r="J4" s="3" t="s">
        <v>28</v>
      </c>
      <c r="K4" s="6">
        <f t="shared" si="1"/>
        <v>4.526748971</v>
      </c>
      <c r="L4" s="7">
        <f t="shared" si="2"/>
        <v>510</v>
      </c>
      <c r="M4" s="8">
        <f t="shared" si="3"/>
        <v>46006</v>
      </c>
      <c r="N4" s="9" t="str">
        <f>IFERROR(__xludf.DUMMYFUNCTION("IFS(
REGEXMATCH(LOWER(A4),""option|options""),""Options Strategy Education"",
REGEXMATCH(LOWER(A4),""bank nifty|nifty|index""),""Index Options"",
REGEXMATCH(LOWER(A4),""algo|api|systematic""),""Algo Trading / API Tutorial"",
REGEXMATCH(LOWER(A4),""groww|m"&amp;"tf|margin|pledge""),""Platform / Groww Feature Tutorial"",
REGEXMATCH(LOWER(A4),""candlestick|chart|price action|trendline|rsi|indicator""),""Technical Analysis / Chart Patterns"",
REGEXMATCH(LOWER(A4),""beginner|guide|start trading""),""Beginner Trading "&amp;"Education"",
REGEXMATCH(LOWER(A4),""interview|journey|talks|wisdom""),""Expert Interview / Trading Insights"",
REGEXMATCH(LOWER(A4),""risk|loss|drawdown|psychology""),""Trading Psychology / Risk Management"",
REGEXMATCH(LOWER(A4),""commodity|crude|gold|na"&amp;"tural gas""),""Commodity Trading Education"",
TRUE,""General Trading Education""
)
"),"Beginner Trading Education")</f>
        <v>Beginner Trading Education</v>
      </c>
    </row>
    <row r="5" ht="15.75" customHeight="1">
      <c r="A5" s="1" t="s">
        <v>29</v>
      </c>
      <c r="B5" s="3" t="s">
        <v>30</v>
      </c>
      <c r="C5" s="1" t="s">
        <v>31</v>
      </c>
      <c r="D5" s="1" t="s">
        <v>32</v>
      </c>
      <c r="E5" s="4">
        <v>46003.0</v>
      </c>
      <c r="F5" s="10">
        <v>2.0944444444444446</v>
      </c>
      <c r="G5" s="1">
        <v>8684.0</v>
      </c>
      <c r="H5" s="1">
        <v>237.0</v>
      </c>
      <c r="I5" s="1">
        <v>18.0</v>
      </c>
      <c r="J5" s="3" t="s">
        <v>33</v>
      </c>
      <c r="K5" s="6">
        <f t="shared" si="1"/>
        <v>2.936434823</v>
      </c>
      <c r="L5" s="7">
        <f t="shared" si="2"/>
        <v>3016</v>
      </c>
      <c r="M5" s="8">
        <f t="shared" si="3"/>
        <v>45999</v>
      </c>
      <c r="N5" s="9" t="str">
        <f>IFERROR(__xludf.DUMMYFUNCTION("IFS(
REGEXMATCH(LOWER(A5),""option|options""),""Options Strategy Education"",
REGEXMATCH(LOWER(A5),""bank nifty|nifty|index""),""Index Options"",
REGEXMATCH(LOWER(A5),""algo|api|systematic""),""Algo Trading / API Tutorial"",
REGEXMATCH(LOWER(A5),""groww|m"&amp;"tf|margin|pledge""),""Platform / Groww Feature Tutorial"",
REGEXMATCH(LOWER(A5),""candlestick|chart|price action|trendline|rsi|indicator""),""Technical Analysis / Chart Patterns"",
REGEXMATCH(LOWER(A5),""beginner|guide|start trading""),""Beginner Trading "&amp;"Education"",
REGEXMATCH(LOWER(A5),""interview|journey|talks|wisdom""),""Expert Interview / Trading Insights"",
REGEXMATCH(LOWER(A5),""risk|loss|drawdown|psychology""),""Trading Psychology / Risk Management"",
REGEXMATCH(LOWER(A5),""commodity|crude|gold|na"&amp;"tural gas""),""Commodity Trading Education"",
TRUE,""General Trading Education""
)
"),"Options Strategy Education")</f>
        <v>Options Strategy Education</v>
      </c>
    </row>
    <row r="6" ht="15.75" customHeight="1">
      <c r="A6" s="1" t="s">
        <v>34</v>
      </c>
      <c r="B6" s="3" t="s">
        <v>35</v>
      </c>
      <c r="C6" s="1" t="s">
        <v>36</v>
      </c>
      <c r="D6" s="1" t="s">
        <v>37</v>
      </c>
      <c r="E6" s="4">
        <v>46000.0</v>
      </c>
      <c r="F6" s="10">
        <v>1.7208333333333334</v>
      </c>
      <c r="G6" s="1">
        <v>3945.0</v>
      </c>
      <c r="H6" s="1">
        <v>122.0</v>
      </c>
      <c r="I6" s="1">
        <v>26.0</v>
      </c>
      <c r="J6" s="3" t="s">
        <v>38</v>
      </c>
      <c r="K6" s="6">
        <f t="shared" si="1"/>
        <v>3.751584284</v>
      </c>
      <c r="L6" s="7">
        <f t="shared" si="2"/>
        <v>2478</v>
      </c>
      <c r="M6" s="8">
        <f t="shared" si="3"/>
        <v>45999</v>
      </c>
      <c r="N6" s="9" t="str">
        <f>IFERROR(__xludf.DUMMYFUNCTION("IFS(
REGEXMATCH(LOWER(A6),""option|options""),""Options Strategy Education"",
REGEXMATCH(LOWER(A6),""bank nifty|nifty|index""),""Index Options"",
REGEXMATCH(LOWER(A6),""algo|api|systematic""),""Algo Trading / API Tutorial"",
REGEXMATCH(LOWER(A6),""groww|m"&amp;"tf|margin|pledge""),""Platform / Groww Feature Tutorial"",
REGEXMATCH(LOWER(A6),""candlestick|chart|price action|trendline|rsi|indicator""),""Technical Analysis / Chart Patterns"",
REGEXMATCH(LOWER(A6),""beginner|guide|start trading""),""Beginner Trading "&amp;"Education"",
REGEXMATCH(LOWER(A6),""interview|journey|talks|wisdom""),""Expert Interview / Trading Insights"",
REGEXMATCH(LOWER(A6),""risk|loss|drawdown|psychology""),""Trading Psychology / Risk Management"",
REGEXMATCH(LOWER(A6),""commodity|crude|gold|na"&amp;"tural gas""),""Commodity Trading Education"",
TRUE,""General Trading Education""
)
"),"Algo Trading / API Tutorial")</f>
        <v>Algo Trading / API Tutorial</v>
      </c>
    </row>
    <row r="7" ht="15.75" customHeight="1">
      <c r="A7" s="1" t="s">
        <v>39</v>
      </c>
      <c r="B7" s="3" t="s">
        <v>40</v>
      </c>
      <c r="C7" s="1" t="s">
        <v>41</v>
      </c>
      <c r="D7" s="1" t="s">
        <v>42</v>
      </c>
      <c r="E7" s="4">
        <v>45994.0</v>
      </c>
      <c r="F7" s="10">
        <v>1.1263888888888889</v>
      </c>
      <c r="G7" s="1">
        <v>2955.0</v>
      </c>
      <c r="H7" s="1">
        <v>130.0</v>
      </c>
      <c r="I7" s="1">
        <v>7.0</v>
      </c>
      <c r="J7" s="3" t="s">
        <v>43</v>
      </c>
      <c r="K7" s="6">
        <f t="shared" si="1"/>
        <v>4.636209814</v>
      </c>
      <c r="L7" s="7">
        <f t="shared" si="2"/>
        <v>1622</v>
      </c>
      <c r="M7" s="8">
        <f t="shared" si="3"/>
        <v>45992</v>
      </c>
      <c r="N7" s="9" t="str">
        <f>IFERROR(__xludf.DUMMYFUNCTION("IFS(
REGEXMATCH(LOWER(A7),""option|options""),""Options Strategy Education"",
REGEXMATCH(LOWER(A7),""bank nifty|nifty|index""),""Index Options"",
REGEXMATCH(LOWER(A7),""algo|api|systematic""),""Algo Trading / API Tutorial"",
REGEXMATCH(LOWER(A7),""groww|m"&amp;"tf|margin|pledge""),""Platform / Groww Feature Tutorial"",
REGEXMATCH(LOWER(A7),""candlestick|chart|price action|trendline|rsi|indicator""),""Technical Analysis / Chart Patterns"",
REGEXMATCH(LOWER(A7),""beginner|guide|start trading""),""Beginner Trading "&amp;"Education"",
REGEXMATCH(LOWER(A7),""interview|journey|talks|wisdom""),""Expert Interview / Trading Insights"",
REGEXMATCH(LOWER(A7),""risk|loss|drawdown|psychology""),""Trading Psychology / Risk Management"",
REGEXMATCH(LOWER(A7),""commodity|crude|gold|na"&amp;"tural gas""),""Commodity Trading Education"",
TRUE,""General Trading Education""
)
"),"General Trading Education")</f>
        <v>General Trading Education</v>
      </c>
    </row>
    <row r="8" ht="15.75" customHeight="1">
      <c r="A8" s="1" t="s">
        <v>44</v>
      </c>
      <c r="B8" s="3" t="s">
        <v>45</v>
      </c>
      <c r="C8" s="1" t="s">
        <v>46</v>
      </c>
      <c r="D8" s="1" t="s">
        <v>47</v>
      </c>
      <c r="E8" s="4">
        <v>45992.0</v>
      </c>
      <c r="F8" s="5">
        <v>0.36944444444444446</v>
      </c>
      <c r="G8" s="1">
        <v>5180.0</v>
      </c>
      <c r="H8" s="1">
        <v>196.0</v>
      </c>
      <c r="I8" s="1">
        <v>20.0</v>
      </c>
      <c r="J8" s="3" t="s">
        <v>48</v>
      </c>
      <c r="K8" s="6">
        <f t="shared" si="1"/>
        <v>4.16988417</v>
      </c>
      <c r="L8" s="7">
        <f t="shared" si="2"/>
        <v>532</v>
      </c>
      <c r="M8" s="8">
        <f t="shared" si="3"/>
        <v>45992</v>
      </c>
      <c r="N8" s="9" t="str">
        <f>IFERROR(__xludf.DUMMYFUNCTION("IFS(
REGEXMATCH(LOWER(A8),""option|options""),""Options Strategy Education"",
REGEXMATCH(LOWER(A8),""bank nifty|nifty|index""),""Index Options"",
REGEXMATCH(LOWER(A8),""algo|api|systematic""),""Algo Trading / API Tutorial"",
REGEXMATCH(LOWER(A8),""groww|m"&amp;"tf|margin|pledge""),""Platform / Groww Feature Tutorial"",
REGEXMATCH(LOWER(A8),""candlestick|chart|price action|trendline|rsi|indicator""),""Technical Analysis / Chart Patterns"",
REGEXMATCH(LOWER(A8),""beginner|guide|start trading""),""Beginner Trading "&amp;"Education"",
REGEXMATCH(LOWER(A8),""interview|journey|talks|wisdom""),""Expert Interview / Trading Insights"",
REGEXMATCH(LOWER(A8),""risk|loss|drawdown|psychology""),""Trading Psychology / Risk Management"",
REGEXMATCH(LOWER(A8),""commodity|crude|gold|na"&amp;"tural gas""),""Commodity Trading Education"",
TRUE,""General Trading Education""
)
"),"General Trading Education")</f>
        <v>General Trading Education</v>
      </c>
    </row>
    <row r="9" ht="15.75" customHeight="1">
      <c r="A9" s="1" t="s">
        <v>49</v>
      </c>
      <c r="B9" s="3" t="s">
        <v>50</v>
      </c>
      <c r="C9" s="1" t="s">
        <v>51</v>
      </c>
      <c r="D9" s="1" t="s">
        <v>52</v>
      </c>
      <c r="E9" s="4">
        <v>45990.0</v>
      </c>
      <c r="F9" s="10">
        <v>2.34375</v>
      </c>
      <c r="G9" s="1">
        <v>3582.0</v>
      </c>
      <c r="H9" s="1">
        <v>115.0</v>
      </c>
      <c r="I9" s="1">
        <v>23.0</v>
      </c>
      <c r="J9" s="3" t="s">
        <v>53</v>
      </c>
      <c r="K9" s="6">
        <f t="shared" si="1"/>
        <v>3.852596315</v>
      </c>
      <c r="L9" s="7">
        <f t="shared" si="2"/>
        <v>3375</v>
      </c>
      <c r="M9" s="8">
        <f t="shared" si="3"/>
        <v>45985</v>
      </c>
      <c r="N9" s="9" t="str">
        <f>IFERROR(__xludf.DUMMYFUNCTION("IFS(
REGEXMATCH(LOWER(A9),""option|options""),""Options Strategy Education"",
REGEXMATCH(LOWER(A9),""bank nifty|nifty|index""),""Index Options"",
REGEXMATCH(LOWER(A9),""algo|api|systematic""),""Algo Trading / API Tutorial"",
REGEXMATCH(LOWER(A9),""groww|m"&amp;"tf|margin|pledge""),""Platform / Groww Feature Tutorial"",
REGEXMATCH(LOWER(A9),""candlestick|chart|price action|trendline|rsi|indicator""),""Technical Analysis / Chart Patterns"",
REGEXMATCH(LOWER(A9),""beginner|guide|start trading""),""Beginner Trading "&amp;"Education"",
REGEXMATCH(LOWER(A9),""interview|journey|talks|wisdom""),""Expert Interview / Trading Insights"",
REGEXMATCH(LOWER(A9),""risk|loss|drawdown|psychology""),""Trading Psychology / Risk Management"",
REGEXMATCH(LOWER(A9),""commodity|crude|gold|na"&amp;"tural gas""),""Commodity Trading Education"",
TRUE,""General Trading Education""
)
"),"General Trading Education")</f>
        <v>General Trading Education</v>
      </c>
    </row>
    <row r="10" ht="15.75" customHeight="1">
      <c r="A10" s="1" t="s">
        <v>54</v>
      </c>
      <c r="B10" s="3" t="s">
        <v>55</v>
      </c>
      <c r="C10" s="1" t="s">
        <v>56</v>
      </c>
      <c r="D10" s="1" t="s">
        <v>57</v>
      </c>
      <c r="E10" s="4">
        <v>45988.0</v>
      </c>
      <c r="F10" s="5">
        <v>0.55</v>
      </c>
      <c r="G10" s="1">
        <v>3297.0</v>
      </c>
      <c r="H10" s="1">
        <v>161.0</v>
      </c>
      <c r="I10" s="1">
        <v>17.0</v>
      </c>
      <c r="J10" s="3" t="s">
        <v>58</v>
      </c>
      <c r="K10" s="6">
        <f t="shared" si="1"/>
        <v>5.398847437</v>
      </c>
      <c r="L10" s="7">
        <f t="shared" si="2"/>
        <v>792</v>
      </c>
      <c r="M10" s="8">
        <f t="shared" si="3"/>
        <v>45985</v>
      </c>
      <c r="N10" s="9" t="str">
        <f>IFERROR(__xludf.DUMMYFUNCTION("IFS(
REGEXMATCH(LOWER(A10),""option|options""),""Options Strategy Education"",
REGEXMATCH(LOWER(A10),""bank nifty|nifty|index""),""Index Options"",
REGEXMATCH(LOWER(A10),""algo|api|systematic""),""Algo Trading / API Tutorial"",
REGEXMATCH(LOWER(A10),""gro"&amp;"ww|mtf|margin|pledge""),""Platform / Groww Feature Tutorial"",
REGEXMATCH(LOWER(A10),""candlestick|chart|price action|trendline|rsi|indicator""),""Technical Analysis / Chart Patterns"",
REGEXMATCH(LOWER(A10),""beginner|guide|start trading""),""Beginner Tr"&amp;"ading Education"",
REGEXMATCH(LOWER(A10),""interview|journey|talks|wisdom""),""Expert Interview / Trading Insights"",
REGEXMATCH(LOWER(A10),""risk|loss|drawdown|psychology""),""Trading Psychology / Risk Management"",
REGEXMATCH(LOWER(A10),""commodity|crud"&amp;"e|gold|natural gas""),""Commodity Trading Education"",
TRUE,""General Trading Education""
)
"),"Options Strategy Education")</f>
        <v>Options Strategy Education</v>
      </c>
    </row>
    <row r="11" ht="15.75" customHeight="1">
      <c r="A11" s="1" t="s">
        <v>59</v>
      </c>
      <c r="B11" s="3" t="s">
        <v>60</v>
      </c>
      <c r="C11" s="1" t="s">
        <v>61</v>
      </c>
      <c r="D11" s="1" t="s">
        <v>62</v>
      </c>
      <c r="E11" s="4">
        <v>45986.0</v>
      </c>
      <c r="F11" s="5">
        <v>0.28680555555555554</v>
      </c>
      <c r="G11" s="1">
        <v>3048.0</v>
      </c>
      <c r="H11" s="1">
        <v>143.0</v>
      </c>
      <c r="I11" s="1">
        <v>14.0</v>
      </c>
      <c r="J11" s="3" t="s">
        <v>63</v>
      </c>
      <c r="K11" s="6">
        <f t="shared" si="1"/>
        <v>5.150918635</v>
      </c>
      <c r="L11" s="7">
        <f t="shared" si="2"/>
        <v>413</v>
      </c>
      <c r="M11" s="8">
        <f t="shared" si="3"/>
        <v>45985</v>
      </c>
      <c r="N11" s="9" t="str">
        <f>IFERROR(__xludf.DUMMYFUNCTION("IFS(
REGEXMATCH(LOWER(A11),""option|options""),""Options Strategy Education"",
REGEXMATCH(LOWER(A11),""bank nifty|nifty|index""),""Index Options"",
REGEXMATCH(LOWER(A11),""algo|api|systematic""),""Algo Trading / API Tutorial"",
REGEXMATCH(LOWER(A11),""gro"&amp;"ww|mtf|margin|pledge""),""Platform / Groww Feature Tutorial"",
REGEXMATCH(LOWER(A11),""candlestick|chart|price action|trendline|rsi|indicator""),""Technical Analysis / Chart Patterns"",
REGEXMATCH(LOWER(A11),""beginner|guide|start trading""),""Beginner Tr"&amp;"ading Education"",
REGEXMATCH(LOWER(A11),""interview|journey|talks|wisdom""),""Expert Interview / Trading Insights"",
REGEXMATCH(LOWER(A11),""risk|loss|drawdown|psychology""),""Trading Psychology / Risk Management"",
REGEXMATCH(LOWER(A11),""commodity|crud"&amp;"e|gold|natural gas""),""Commodity Trading Education"",
TRUE,""General Trading Education""
)
"),"Beginner Trading Education")</f>
        <v>Beginner Trading Education</v>
      </c>
    </row>
    <row r="12" ht="15.75" customHeight="1">
      <c r="A12" s="1" t="s">
        <v>64</v>
      </c>
      <c r="B12" s="3" t="s">
        <v>65</v>
      </c>
      <c r="C12" s="1" t="s">
        <v>66</v>
      </c>
      <c r="D12" s="1" t="s">
        <v>67</v>
      </c>
      <c r="E12" s="4">
        <v>45984.0</v>
      </c>
      <c r="F12" s="5">
        <v>0.3263888888888889</v>
      </c>
      <c r="G12" s="1">
        <v>6640.0</v>
      </c>
      <c r="H12" s="1">
        <v>228.0</v>
      </c>
      <c r="I12" s="1">
        <v>33.0</v>
      </c>
      <c r="J12" s="3" t="s">
        <v>68</v>
      </c>
      <c r="K12" s="6">
        <f t="shared" si="1"/>
        <v>3.930722892</v>
      </c>
      <c r="L12" s="7">
        <f t="shared" si="2"/>
        <v>470</v>
      </c>
      <c r="M12" s="8">
        <f t="shared" si="3"/>
        <v>45978</v>
      </c>
      <c r="N12" s="9" t="str">
        <f>IFERROR(__xludf.DUMMYFUNCTION("IFS(
REGEXMATCH(LOWER(A12),""option|options""),""Options Strategy Education"",
REGEXMATCH(LOWER(A12),""bank nifty|nifty|index""),""Index Options"",
REGEXMATCH(LOWER(A12),""algo|api|systematic""),""Algo Trading / API Tutorial"",
REGEXMATCH(LOWER(A12),""gro"&amp;"ww|mtf|margin|pledge""),""Platform / Groww Feature Tutorial"",
REGEXMATCH(LOWER(A12),""candlestick|chart|price action|trendline|rsi|indicator""),""Technical Analysis / Chart Patterns"",
REGEXMATCH(LOWER(A12),""beginner|guide|start trading""),""Beginner Tr"&amp;"ading Education"",
REGEXMATCH(LOWER(A12),""interview|journey|talks|wisdom""),""Expert Interview / Trading Insights"",
REGEXMATCH(LOWER(A12),""risk|loss|drawdown|psychology""),""Trading Psychology / Risk Management"",
REGEXMATCH(LOWER(A12),""commodity|crud"&amp;"e|gold|natural gas""),""Commodity Trading Education"",
TRUE,""General Trading Education""
)
"),"Algo Trading / API Tutorial")</f>
        <v>Algo Trading / API Tutorial</v>
      </c>
    </row>
    <row r="13" ht="15.75" customHeight="1">
      <c r="A13" s="1" t="s">
        <v>69</v>
      </c>
      <c r="B13" s="3" t="s">
        <v>70</v>
      </c>
      <c r="C13" s="1" t="s">
        <v>71</v>
      </c>
      <c r="D13" s="1" t="s">
        <v>72</v>
      </c>
      <c r="E13" s="4">
        <v>45982.0</v>
      </c>
      <c r="F13" s="5">
        <v>0.7875</v>
      </c>
      <c r="G13" s="1">
        <v>3707.0</v>
      </c>
      <c r="H13" s="1">
        <v>190.0</v>
      </c>
      <c r="I13" s="1">
        <v>16.0</v>
      </c>
      <c r="J13" s="3" t="s">
        <v>73</v>
      </c>
      <c r="K13" s="6">
        <f t="shared" si="1"/>
        <v>5.557054222</v>
      </c>
      <c r="L13" s="7">
        <f t="shared" si="2"/>
        <v>1134</v>
      </c>
      <c r="M13" s="8">
        <f t="shared" si="3"/>
        <v>45978</v>
      </c>
      <c r="N13" s="9" t="str">
        <f>IFERROR(__xludf.DUMMYFUNCTION("IFS(
REGEXMATCH(LOWER(A13),""option|options""),""Options Strategy Education"",
REGEXMATCH(LOWER(A13),""bank nifty|nifty|index""),""Index Options"",
REGEXMATCH(LOWER(A13),""algo|api|systematic""),""Algo Trading / API Tutorial"",
REGEXMATCH(LOWER(A13),""gro"&amp;"ww|mtf|margin|pledge""),""Platform / Groww Feature Tutorial"",
REGEXMATCH(LOWER(A13),""candlestick|chart|price action|trendline|rsi|indicator""),""Technical Analysis / Chart Patterns"",
REGEXMATCH(LOWER(A13),""beginner|guide|start trading""),""Beginner Tr"&amp;"ading Education"",
REGEXMATCH(LOWER(A13),""interview|journey|talks|wisdom""),""Expert Interview / Trading Insights"",
REGEXMATCH(LOWER(A13),""risk|loss|drawdown|psychology""),""Trading Psychology / Risk Management"",
REGEXMATCH(LOWER(A13),""commodity|crud"&amp;"e|gold|natural gas""),""Commodity Trading Education"",
TRUE,""General Trading Education""
)
"),"Technical Analysis / Chart Patterns")</f>
        <v>Technical Analysis / Chart Patterns</v>
      </c>
    </row>
    <row r="14" ht="15.75" customHeight="1">
      <c r="A14" s="1" t="s">
        <v>74</v>
      </c>
      <c r="B14" s="3" t="s">
        <v>75</v>
      </c>
      <c r="C14" s="1" t="s">
        <v>76</v>
      </c>
      <c r="D14" s="1" t="s">
        <v>77</v>
      </c>
      <c r="E14" s="4">
        <v>45976.0</v>
      </c>
      <c r="F14" s="10">
        <v>1.7944444444444445</v>
      </c>
      <c r="G14" s="1">
        <v>19838.0</v>
      </c>
      <c r="H14" s="1">
        <v>468.0</v>
      </c>
      <c r="I14" s="1">
        <v>41.0</v>
      </c>
      <c r="J14" s="3" t="s">
        <v>78</v>
      </c>
      <c r="K14" s="6">
        <f t="shared" si="1"/>
        <v>2.565782841</v>
      </c>
      <c r="L14" s="7">
        <f t="shared" si="2"/>
        <v>2584</v>
      </c>
      <c r="M14" s="8">
        <f t="shared" si="3"/>
        <v>45971</v>
      </c>
      <c r="N14" s="9" t="str">
        <f>IFERROR(__xludf.DUMMYFUNCTION("IFS(
REGEXMATCH(LOWER(A14),""option|options""),""Options Strategy Education"",
REGEXMATCH(LOWER(A14),""bank nifty|nifty|index""),""Index Options"",
REGEXMATCH(LOWER(A14),""algo|api|systematic""),""Algo Trading / API Tutorial"",
REGEXMATCH(LOWER(A14),""gro"&amp;"ww|mtf|margin|pledge""),""Platform / Groww Feature Tutorial"",
REGEXMATCH(LOWER(A14),""candlestick|chart|price action|trendline|rsi|indicator""),""Technical Analysis / Chart Patterns"",
REGEXMATCH(LOWER(A14),""beginner|guide|start trading""),""Beginner Tr"&amp;"ading Education"",
REGEXMATCH(LOWER(A14),""interview|journey|talks|wisdom""),""Expert Interview / Trading Insights"",
REGEXMATCH(LOWER(A14),""risk|loss|drawdown|psychology""),""Trading Psychology / Risk Management"",
REGEXMATCH(LOWER(A14),""commodity|crud"&amp;"e|gold|natural gas""),""Commodity Trading Education"",
TRUE,""General Trading Education""
)
"),"Options Strategy Education")</f>
        <v>Options Strategy Education</v>
      </c>
    </row>
    <row r="15" ht="15.75" customHeight="1">
      <c r="A15" s="1" t="s">
        <v>79</v>
      </c>
      <c r="B15" s="3" t="s">
        <v>80</v>
      </c>
      <c r="C15" s="1" t="s">
        <v>81</v>
      </c>
      <c r="D15" s="1" t="s">
        <v>82</v>
      </c>
      <c r="E15" s="4">
        <v>45970.0</v>
      </c>
      <c r="F15" s="5">
        <v>0.1625</v>
      </c>
      <c r="G15" s="1">
        <v>2477.0</v>
      </c>
      <c r="H15" s="1">
        <v>119.0</v>
      </c>
      <c r="I15" s="1">
        <v>8.0</v>
      </c>
      <c r="J15" s="3" t="s">
        <v>83</v>
      </c>
      <c r="K15" s="6">
        <f t="shared" si="1"/>
        <v>5.127169964</v>
      </c>
      <c r="L15" s="7">
        <f t="shared" si="2"/>
        <v>234</v>
      </c>
      <c r="M15" s="8">
        <f t="shared" si="3"/>
        <v>45964</v>
      </c>
      <c r="N15" s="9" t="str">
        <f>IFERROR(__xludf.DUMMYFUNCTION("IFS(
REGEXMATCH(LOWER(A15),""option|options""),""Options Strategy Education"",
REGEXMATCH(LOWER(A15),""bank nifty|nifty|index""),""Index Options"",
REGEXMATCH(LOWER(A15),""algo|api|systematic""),""Algo Trading / API Tutorial"",
REGEXMATCH(LOWER(A15),""gro"&amp;"ww|mtf|margin|pledge""),""Platform / Groww Feature Tutorial"",
REGEXMATCH(LOWER(A15),""candlestick|chart|price action|trendline|rsi|indicator""),""Technical Analysis / Chart Patterns"",
REGEXMATCH(LOWER(A15),""beginner|guide|start trading""),""Beginner Tr"&amp;"ading Education"",
REGEXMATCH(LOWER(A15),""interview|journey|talks|wisdom""),""Expert Interview / Trading Insights"",
REGEXMATCH(LOWER(A15),""risk|loss|drawdown|psychology""),""Trading Psychology / Risk Management"",
REGEXMATCH(LOWER(A15),""commodity|crud"&amp;"e|gold|natural gas""),""Commodity Trading Education"",
TRUE,""General Trading Education""
)
"),"Beginner Trading Education")</f>
        <v>Beginner Trading Education</v>
      </c>
    </row>
    <row r="16" ht="15.75" customHeight="1">
      <c r="A16" s="1" t="s">
        <v>84</v>
      </c>
      <c r="B16" s="3" t="s">
        <v>85</v>
      </c>
      <c r="C16" s="1" t="s">
        <v>86</v>
      </c>
      <c r="D16" s="1" t="s">
        <v>87</v>
      </c>
      <c r="E16" s="4">
        <v>45969.0</v>
      </c>
      <c r="F16" s="10">
        <v>1.1854166666666666</v>
      </c>
      <c r="G16" s="1">
        <v>5191.0</v>
      </c>
      <c r="H16" s="1">
        <v>206.0</v>
      </c>
      <c r="I16" s="1">
        <v>26.0</v>
      </c>
      <c r="J16" s="3" t="s">
        <v>88</v>
      </c>
      <c r="K16" s="6">
        <f t="shared" si="1"/>
        <v>4.469273743</v>
      </c>
      <c r="L16" s="7">
        <f t="shared" si="2"/>
        <v>1707</v>
      </c>
      <c r="M16" s="8">
        <f t="shared" si="3"/>
        <v>45964</v>
      </c>
      <c r="N16" s="9" t="str">
        <f>IFERROR(__xludf.DUMMYFUNCTION("IFS(
REGEXMATCH(LOWER(A16),""option|options""),""Options Strategy Education"",
REGEXMATCH(LOWER(A16),""bank nifty|nifty|index""),""Index Options"",
REGEXMATCH(LOWER(A16),""algo|api|systematic""),""Algo Trading / API Tutorial"",
REGEXMATCH(LOWER(A16),""gro"&amp;"ww|mtf|margin|pledge""),""Platform / Groww Feature Tutorial"",
REGEXMATCH(LOWER(A16),""candlestick|chart|price action|trendline|rsi|indicator""),""Technical Analysis / Chart Patterns"",
REGEXMATCH(LOWER(A16),""beginner|guide|start trading""),""Beginner Tr"&amp;"ading Education"",
REGEXMATCH(LOWER(A16),""interview|journey|talks|wisdom""),""Expert Interview / Trading Insights"",
REGEXMATCH(LOWER(A16),""risk|loss|drawdown|psychology""),""Trading Psychology / Risk Management"",
REGEXMATCH(LOWER(A16),""commodity|crud"&amp;"e|gold|natural gas""),""Commodity Trading Education"",
TRUE,""General Trading Education""
)
"),"Platform / Groww Feature Tutorial")</f>
        <v>Platform / Groww Feature Tutorial</v>
      </c>
    </row>
    <row r="17" ht="15.75" customHeight="1">
      <c r="A17" s="1" t="s">
        <v>89</v>
      </c>
      <c r="B17" s="3" t="s">
        <v>90</v>
      </c>
      <c r="C17" s="1" t="s">
        <v>91</v>
      </c>
      <c r="D17" s="1" t="s">
        <v>92</v>
      </c>
      <c r="E17" s="4">
        <v>45965.0</v>
      </c>
      <c r="F17" s="10">
        <v>1.6201388888888888</v>
      </c>
      <c r="G17" s="1">
        <v>2991.0</v>
      </c>
      <c r="H17" s="1">
        <v>109.0</v>
      </c>
      <c r="I17" s="1">
        <v>6.0</v>
      </c>
      <c r="J17" s="3" t="s">
        <v>93</v>
      </c>
      <c r="K17" s="6">
        <f t="shared" si="1"/>
        <v>3.844867937</v>
      </c>
      <c r="L17" s="7">
        <f t="shared" si="2"/>
        <v>2333</v>
      </c>
      <c r="M17" s="8">
        <f t="shared" si="3"/>
        <v>45964</v>
      </c>
      <c r="N17" s="9" t="str">
        <f>IFERROR(__xludf.DUMMYFUNCTION("IFS(
REGEXMATCH(LOWER(A17),""option|options""),""Options Strategy Education"",
REGEXMATCH(LOWER(A17),""bank nifty|nifty|index""),""Index Options"",
REGEXMATCH(LOWER(A17),""algo|api|systematic""),""Algo Trading / API Tutorial"",
REGEXMATCH(LOWER(A17),""gro"&amp;"ww|mtf|margin|pledge""),""Platform / Groww Feature Tutorial"",
REGEXMATCH(LOWER(A17),""candlestick|chart|price action|trendline|rsi|indicator""),""Technical Analysis / Chart Patterns"",
REGEXMATCH(LOWER(A17),""beginner|guide|start trading""),""Beginner Tr"&amp;"ading Education"",
REGEXMATCH(LOWER(A17),""interview|journey|talks|wisdom""),""Expert Interview / Trading Insights"",
REGEXMATCH(LOWER(A17),""risk|loss|drawdown|psychology""),""Trading Psychology / Risk Management"",
REGEXMATCH(LOWER(A17),""commodity|crud"&amp;"e|gold|natural gas""),""Commodity Trading Education"",
TRUE,""General Trading Education""
)
"),"General Trading Education")</f>
        <v>General Trading Education</v>
      </c>
    </row>
    <row r="18" ht="15.75" customHeight="1">
      <c r="A18" s="1" t="s">
        <v>94</v>
      </c>
      <c r="B18" s="3" t="s">
        <v>95</v>
      </c>
      <c r="C18" s="1" t="s">
        <v>96</v>
      </c>
      <c r="D18" s="1" t="s">
        <v>97</v>
      </c>
      <c r="E18" s="4">
        <v>45961.0</v>
      </c>
      <c r="F18" s="10">
        <v>1.8402777777777777</v>
      </c>
      <c r="G18" s="1">
        <v>5737.0</v>
      </c>
      <c r="H18" s="1">
        <v>154.0</v>
      </c>
      <c r="I18" s="1">
        <v>13.0</v>
      </c>
      <c r="J18" s="3" t="s">
        <v>98</v>
      </c>
      <c r="K18" s="6">
        <f t="shared" si="1"/>
        <v>2.910929057</v>
      </c>
      <c r="L18" s="7">
        <f t="shared" si="2"/>
        <v>2650</v>
      </c>
      <c r="M18" s="8">
        <f t="shared" si="3"/>
        <v>45957</v>
      </c>
      <c r="N18" s="9" t="str">
        <f>IFERROR(__xludf.DUMMYFUNCTION("IFS(
REGEXMATCH(LOWER(A18),""option|options""),""Options Strategy Education"",
REGEXMATCH(LOWER(A18),""bank nifty|nifty|index""),""Index Options"",
REGEXMATCH(LOWER(A18),""algo|api|systematic""),""Algo Trading / API Tutorial"",
REGEXMATCH(LOWER(A18),""gro"&amp;"ww|mtf|margin|pledge""),""Platform / Groww Feature Tutorial"",
REGEXMATCH(LOWER(A18),""candlestick|chart|price action|trendline|rsi|indicator""),""Technical Analysis / Chart Patterns"",
REGEXMATCH(LOWER(A18),""beginner|guide|start trading""),""Beginner Tr"&amp;"ading Education"",
REGEXMATCH(LOWER(A18),""interview|journey|talks|wisdom""),""Expert Interview / Trading Insights"",
REGEXMATCH(LOWER(A18),""risk|loss|drawdown|psychology""),""Trading Psychology / Risk Management"",
REGEXMATCH(LOWER(A18),""commodity|crud"&amp;"e|gold|natural gas""),""Commodity Trading Education"",
TRUE,""General Trading Education""
)
"),"Options Strategy Education")</f>
        <v>Options Strategy Education</v>
      </c>
    </row>
    <row r="19" ht="15.75" customHeight="1">
      <c r="A19" s="1" t="s">
        <v>99</v>
      </c>
      <c r="B19" s="3" t="s">
        <v>100</v>
      </c>
      <c r="C19" s="1" t="s">
        <v>101</v>
      </c>
      <c r="D19" s="1" t="s">
        <v>102</v>
      </c>
      <c r="E19" s="4">
        <v>45957.0</v>
      </c>
      <c r="F19" s="5">
        <v>0.4263888888888889</v>
      </c>
      <c r="G19" s="1">
        <v>4180.0</v>
      </c>
      <c r="H19" s="1">
        <v>169.0</v>
      </c>
      <c r="I19" s="1">
        <v>11.0</v>
      </c>
      <c r="J19" s="3" t="s">
        <v>103</v>
      </c>
      <c r="K19" s="6">
        <f t="shared" si="1"/>
        <v>4.306220096</v>
      </c>
      <c r="L19" s="7">
        <f t="shared" si="2"/>
        <v>614</v>
      </c>
      <c r="M19" s="8">
        <f t="shared" si="3"/>
        <v>45957</v>
      </c>
      <c r="N19" s="9" t="str">
        <f>IFERROR(__xludf.DUMMYFUNCTION("IFS(
REGEXMATCH(LOWER(A19),""option|options""),""Options Strategy Education"",
REGEXMATCH(LOWER(A19),""bank nifty|nifty|index""),""Index Options"",
REGEXMATCH(LOWER(A19),""algo|api|systematic""),""Algo Trading / API Tutorial"",
REGEXMATCH(LOWER(A19),""gro"&amp;"ww|mtf|margin|pledge""),""Platform / Groww Feature Tutorial"",
REGEXMATCH(LOWER(A19),""candlestick|chart|price action|trendline|rsi|indicator""),""Technical Analysis / Chart Patterns"",
REGEXMATCH(LOWER(A19),""beginner|guide|start trading""),""Beginner Tr"&amp;"ading Education"",
REGEXMATCH(LOWER(A19),""interview|journey|talks|wisdom""),""Expert Interview / Trading Insights"",
REGEXMATCH(LOWER(A19),""risk|loss|drawdown|psychology""),""Trading Psychology / Risk Management"",
REGEXMATCH(LOWER(A19),""commodity|crud"&amp;"e|gold|natural gas""),""Commodity Trading Education"",
TRUE,""General Trading Education""
)
"),"Beginner Trading Education")</f>
        <v>Beginner Trading Education</v>
      </c>
    </row>
    <row r="20" ht="15.75" customHeight="1">
      <c r="A20" s="1" t="s">
        <v>104</v>
      </c>
      <c r="B20" s="3" t="s">
        <v>105</v>
      </c>
      <c r="C20" s="1" t="s">
        <v>106</v>
      </c>
      <c r="D20" s="1" t="s">
        <v>107</v>
      </c>
      <c r="E20" s="4">
        <v>45955.0</v>
      </c>
      <c r="F20" s="10">
        <v>1.9631944444444445</v>
      </c>
      <c r="G20" s="1">
        <v>28298.0</v>
      </c>
      <c r="H20" s="1">
        <v>711.0</v>
      </c>
      <c r="I20" s="1">
        <v>65.0</v>
      </c>
      <c r="J20" s="3" t="s">
        <v>108</v>
      </c>
      <c r="K20" s="6">
        <f t="shared" si="1"/>
        <v>2.742243268</v>
      </c>
      <c r="L20" s="7">
        <f t="shared" si="2"/>
        <v>2827</v>
      </c>
      <c r="M20" s="8">
        <f t="shared" si="3"/>
        <v>45950</v>
      </c>
      <c r="N20" s="9" t="str">
        <f>IFERROR(__xludf.DUMMYFUNCTION("IFS(
REGEXMATCH(LOWER(A20),""option|options""),""Options Strategy Education"",
REGEXMATCH(LOWER(A20),""bank nifty|nifty|index""),""Index Options"",
REGEXMATCH(LOWER(A20),""algo|api|systematic""),""Algo Trading / API Tutorial"",
REGEXMATCH(LOWER(A20),""gro"&amp;"ww|mtf|margin|pledge""),""Platform / Groww Feature Tutorial"",
REGEXMATCH(LOWER(A20),""candlestick|chart|price action|trendline|rsi|indicator""),""Technical Analysis / Chart Patterns"",
REGEXMATCH(LOWER(A20),""beginner|guide|start trading""),""Beginner Tr"&amp;"ading Education"",
REGEXMATCH(LOWER(A20),""interview|journey|talks|wisdom""),""Expert Interview / Trading Insights"",
REGEXMATCH(LOWER(A20),""risk|loss|drawdown|psychology""),""Trading Psychology / Risk Management"",
REGEXMATCH(LOWER(A20),""commodity|crud"&amp;"e|gold|natural gas""),""Commodity Trading Education"",
TRUE,""General Trading Education""
)
"),"General Trading Education")</f>
        <v>General Trading Education</v>
      </c>
    </row>
    <row r="21" ht="15.75" customHeight="1">
      <c r="A21" s="1" t="s">
        <v>109</v>
      </c>
      <c r="B21" s="3" t="s">
        <v>110</v>
      </c>
      <c r="C21" s="1" t="s">
        <v>111</v>
      </c>
      <c r="D21" s="1" t="s">
        <v>112</v>
      </c>
      <c r="E21" s="4">
        <v>45953.0</v>
      </c>
      <c r="F21" s="5">
        <v>0.06805555555555555</v>
      </c>
      <c r="G21" s="1">
        <v>1684.0</v>
      </c>
      <c r="H21" s="1">
        <v>40.0</v>
      </c>
      <c r="I21" s="1">
        <v>2.0</v>
      </c>
      <c r="J21" s="3" t="s">
        <v>113</v>
      </c>
      <c r="K21" s="6">
        <f t="shared" si="1"/>
        <v>2.494061758</v>
      </c>
      <c r="L21" s="7">
        <f t="shared" si="2"/>
        <v>98</v>
      </c>
      <c r="M21" s="8">
        <f t="shared" si="3"/>
        <v>45950</v>
      </c>
      <c r="N21" s="9" t="str">
        <f>IFERROR(__xludf.DUMMYFUNCTION("IFS(
REGEXMATCH(LOWER(A21),""option|options""),""Options Strategy Education"",
REGEXMATCH(LOWER(A21),""bank nifty|nifty|index""),""Index Options"",
REGEXMATCH(LOWER(A21),""algo|api|systematic""),""Algo Trading / API Tutorial"",
REGEXMATCH(LOWER(A21),""gro"&amp;"ww|mtf|margin|pledge""),""Platform / Groww Feature Tutorial"",
REGEXMATCH(LOWER(A21),""candlestick|chart|price action|trendline|rsi|indicator""),""Technical Analysis / Chart Patterns"",
REGEXMATCH(LOWER(A21),""beginner|guide|start trading""),""Beginner Tr"&amp;"ading Education"",
REGEXMATCH(LOWER(A21),""interview|journey|talks|wisdom""),""Expert Interview / Trading Insights"",
REGEXMATCH(LOWER(A21),""risk|loss|drawdown|psychology""),""Trading Psychology / Risk Management"",
REGEXMATCH(LOWER(A21),""commodity|crud"&amp;"e|gold|natural gas""),""Commodity Trading Education"",
TRUE,""General Trading Education""
)
"),"General Trading Education")</f>
        <v>General Trading Education</v>
      </c>
    </row>
    <row r="22" ht="15.75" customHeight="1">
      <c r="A22" s="1" t="s">
        <v>114</v>
      </c>
      <c r="B22" s="3" t="s">
        <v>115</v>
      </c>
      <c r="C22" s="1" t="s">
        <v>116</v>
      </c>
      <c r="D22" s="1" t="s">
        <v>117</v>
      </c>
      <c r="E22" s="4">
        <v>45950.0</v>
      </c>
      <c r="F22" s="5">
        <v>0.3055555555555556</v>
      </c>
      <c r="G22" s="1">
        <v>15888.0</v>
      </c>
      <c r="H22" s="1">
        <v>365.0</v>
      </c>
      <c r="I22" s="1">
        <v>32.0</v>
      </c>
      <c r="J22" s="3" t="s">
        <v>118</v>
      </c>
      <c r="K22" s="6">
        <f t="shared" si="1"/>
        <v>2.498741188</v>
      </c>
      <c r="L22" s="7">
        <f t="shared" si="2"/>
        <v>440</v>
      </c>
      <c r="M22" s="8">
        <f t="shared" si="3"/>
        <v>45950</v>
      </c>
      <c r="N22" s="9" t="str">
        <f>IFERROR(__xludf.DUMMYFUNCTION("IFS(
REGEXMATCH(LOWER(A22),""option|options""),""Options Strategy Education"",
REGEXMATCH(LOWER(A22),""bank nifty|nifty|index""),""Index Options"",
REGEXMATCH(LOWER(A22),""algo|api|systematic""),""Algo Trading / API Tutorial"",
REGEXMATCH(LOWER(A22),""gro"&amp;"ww|mtf|margin|pledge""),""Platform / Groww Feature Tutorial"",
REGEXMATCH(LOWER(A22),""candlestick|chart|price action|trendline|rsi|indicator""),""Technical Analysis / Chart Patterns"",
REGEXMATCH(LOWER(A22),""beginner|guide|start trading""),""Beginner Tr"&amp;"ading Education"",
REGEXMATCH(LOWER(A22),""interview|journey|talks|wisdom""),""Expert Interview / Trading Insights"",
REGEXMATCH(LOWER(A22),""risk|loss|drawdown|psychology""),""Trading Psychology / Risk Management"",
REGEXMATCH(LOWER(A22),""commodity|crud"&amp;"e|gold|natural gas""),""Commodity Trading Education"",
TRUE,""General Trading Education""
)
"),"General Trading Education")</f>
        <v>General Trading Education</v>
      </c>
    </row>
    <row r="23" ht="15.75" customHeight="1">
      <c r="A23" s="1" t="s">
        <v>119</v>
      </c>
      <c r="B23" s="3" t="s">
        <v>120</v>
      </c>
      <c r="C23" s="1" t="s">
        <v>121</v>
      </c>
      <c r="D23" s="1" t="s">
        <v>122</v>
      </c>
      <c r="E23" s="4">
        <v>45945.0</v>
      </c>
      <c r="F23" s="5">
        <v>0.5972222222222222</v>
      </c>
      <c r="G23" s="1">
        <v>10919.0</v>
      </c>
      <c r="H23" s="1">
        <v>432.0</v>
      </c>
      <c r="I23" s="1">
        <v>25.0</v>
      </c>
      <c r="J23" s="3" t="s">
        <v>123</v>
      </c>
      <c r="K23" s="6">
        <f t="shared" si="1"/>
        <v>4.18536496</v>
      </c>
      <c r="L23" s="7">
        <f t="shared" si="2"/>
        <v>860</v>
      </c>
      <c r="M23" s="8">
        <f t="shared" si="3"/>
        <v>45943</v>
      </c>
      <c r="N23" s="9" t="str">
        <f>IFERROR(__xludf.DUMMYFUNCTION("IFS(
REGEXMATCH(LOWER(A23),""option|options""),""Options Strategy Education"",
REGEXMATCH(LOWER(A23),""bank nifty|nifty|index""),""Index Options"",
REGEXMATCH(LOWER(A23),""algo|api|systematic""),""Algo Trading / API Tutorial"",
REGEXMATCH(LOWER(A23),""gro"&amp;"ww|mtf|margin|pledge""),""Platform / Groww Feature Tutorial"",
REGEXMATCH(LOWER(A23),""candlestick|chart|price action|trendline|rsi|indicator""),""Technical Analysis / Chart Patterns"",
REGEXMATCH(LOWER(A23),""beginner|guide|start trading""),""Beginner Tr"&amp;"ading Education"",
REGEXMATCH(LOWER(A23),""interview|journey|talks|wisdom""),""Expert Interview / Trading Insights"",
REGEXMATCH(LOWER(A23),""risk|loss|drawdown|psychology""),""Trading Psychology / Risk Management"",
REGEXMATCH(LOWER(A23),""commodity|crud"&amp;"e|gold|natural gas""),""Commodity Trading Education"",
TRUE,""General Trading Education""
)
"),"Options Strategy Education")</f>
        <v>Options Strategy Education</v>
      </c>
    </row>
    <row r="24" ht="15.75" customHeight="1">
      <c r="A24" s="1" t="s">
        <v>124</v>
      </c>
      <c r="B24" s="3" t="s">
        <v>125</v>
      </c>
      <c r="C24" s="1" t="s">
        <v>126</v>
      </c>
      <c r="D24" s="1" t="s">
        <v>127</v>
      </c>
      <c r="E24" s="4">
        <v>45942.0</v>
      </c>
      <c r="F24" s="10">
        <v>1.5131944444444445</v>
      </c>
      <c r="G24" s="1">
        <v>4974.0</v>
      </c>
      <c r="H24" s="1">
        <v>238.0</v>
      </c>
      <c r="I24" s="1">
        <v>10.0</v>
      </c>
      <c r="J24" s="3" t="s">
        <v>128</v>
      </c>
      <c r="K24" s="6">
        <f t="shared" si="1"/>
        <v>4.985926819</v>
      </c>
      <c r="L24" s="7">
        <f t="shared" si="2"/>
        <v>2179</v>
      </c>
      <c r="M24" s="8">
        <f t="shared" si="3"/>
        <v>45936</v>
      </c>
      <c r="N24" s="9" t="str">
        <f>IFERROR(__xludf.DUMMYFUNCTION("IFS(
REGEXMATCH(LOWER(A24),""option|options""),""Options Strategy Education"",
REGEXMATCH(LOWER(A24),""bank nifty|nifty|index""),""Index Options"",
REGEXMATCH(LOWER(A24),""algo|api|systematic""),""Algo Trading / API Tutorial"",
REGEXMATCH(LOWER(A24),""gro"&amp;"ww|mtf|margin|pledge""),""Platform / Groww Feature Tutorial"",
REGEXMATCH(LOWER(A24),""candlestick|chart|price action|trendline|rsi|indicator""),""Technical Analysis / Chart Patterns"",
REGEXMATCH(LOWER(A24),""beginner|guide|start trading""),""Beginner Tr"&amp;"ading Education"",
REGEXMATCH(LOWER(A24),""interview|journey|talks|wisdom""),""Expert Interview / Trading Insights"",
REGEXMATCH(LOWER(A24),""risk|loss|drawdown|psychology""),""Trading Psychology / Risk Management"",
REGEXMATCH(LOWER(A24),""commodity|crud"&amp;"e|gold|natural gas""),""Commodity Trading Education"",
TRUE,""General Trading Education""
)
"),"Technical Analysis / Chart Patterns")</f>
        <v>Technical Analysis / Chart Patterns</v>
      </c>
    </row>
    <row r="25" ht="15.75" customHeight="1">
      <c r="A25" s="1" t="s">
        <v>129</v>
      </c>
      <c r="B25" s="3" t="s">
        <v>130</v>
      </c>
      <c r="C25" s="1" t="s">
        <v>131</v>
      </c>
      <c r="D25" s="1" t="s">
        <v>132</v>
      </c>
      <c r="E25" s="4">
        <v>45940.0</v>
      </c>
      <c r="F25" s="5">
        <v>0.24166666666666667</v>
      </c>
      <c r="G25" s="1">
        <v>30187.0</v>
      </c>
      <c r="H25" s="1">
        <v>758.0</v>
      </c>
      <c r="I25" s="1">
        <v>82.0</v>
      </c>
      <c r="J25" s="11" t="s">
        <v>133</v>
      </c>
      <c r="K25" s="6">
        <f t="shared" si="1"/>
        <v>2.782654785</v>
      </c>
      <c r="L25" s="7">
        <f t="shared" si="2"/>
        <v>348</v>
      </c>
      <c r="M25" s="8">
        <f t="shared" si="3"/>
        <v>45936</v>
      </c>
      <c r="N25" s="9" t="str">
        <f>IFERROR(__xludf.DUMMYFUNCTION("IFS(
REGEXMATCH(LOWER(A25),""option|options""),""Options Strategy Education"",
REGEXMATCH(LOWER(A25),""bank nifty|nifty|index""),""Index Options"",
REGEXMATCH(LOWER(A25),""algo|api|systematic""),""Algo Trading / API Tutorial"",
REGEXMATCH(LOWER(A25),""gro"&amp;"ww|mtf|margin|pledge""),""Platform / Groww Feature Tutorial"",
REGEXMATCH(LOWER(A25),""candlestick|chart|price action|trendline|rsi|indicator""),""Technical Analysis / Chart Patterns"",
REGEXMATCH(LOWER(A25),""beginner|guide|start trading""),""Beginner Tr"&amp;"ading Education"",
REGEXMATCH(LOWER(A25),""interview|journey|talks|wisdom""),""Expert Interview / Trading Insights"",
REGEXMATCH(LOWER(A25),""risk|loss|drawdown|psychology""),""Trading Psychology / Risk Management"",
REGEXMATCH(LOWER(A25),""commodity|crud"&amp;"e|gold|natural gas""),""Commodity Trading Education"",
TRUE,""General Trading Education""
)
"),"Platform / Groww Feature Tutorial")</f>
        <v>Platform / Groww Feature Tutorial</v>
      </c>
    </row>
    <row r="26" ht="15.75" customHeight="1">
      <c r="A26" s="1" t="s">
        <v>134</v>
      </c>
      <c r="B26" s="3" t="s">
        <v>135</v>
      </c>
      <c r="C26" s="1" t="s">
        <v>136</v>
      </c>
      <c r="D26" s="1" t="s">
        <v>137</v>
      </c>
      <c r="E26" s="4">
        <v>45935.0</v>
      </c>
      <c r="F26" s="5">
        <v>0.3923611111111111</v>
      </c>
      <c r="G26" s="1">
        <v>3422.0</v>
      </c>
      <c r="H26" s="1">
        <v>134.0</v>
      </c>
      <c r="I26" s="1">
        <v>5.0</v>
      </c>
      <c r="J26" s="3" t="s">
        <v>138</v>
      </c>
      <c r="K26" s="6">
        <f t="shared" si="1"/>
        <v>4.061952075</v>
      </c>
      <c r="L26" s="7">
        <f t="shared" si="2"/>
        <v>565</v>
      </c>
      <c r="M26" s="8">
        <f t="shared" si="3"/>
        <v>45929</v>
      </c>
      <c r="N26" s="9" t="str">
        <f>IFERROR(__xludf.DUMMYFUNCTION("IFS(
REGEXMATCH(LOWER(A26),""option|options""),""Options Strategy Education"",
REGEXMATCH(LOWER(A26),""bank nifty|nifty|index""),""Index Options"",
REGEXMATCH(LOWER(A26),""algo|api|systematic""),""Algo Trading / API Tutorial"",
REGEXMATCH(LOWER(A26),""gro"&amp;"ww|mtf|margin|pledge""),""Platform / Groww Feature Tutorial"",
REGEXMATCH(LOWER(A26),""candlestick|chart|price action|trendline|rsi|indicator""),""Technical Analysis / Chart Patterns"",
REGEXMATCH(LOWER(A26),""beginner|guide|start trading""),""Beginner Tr"&amp;"ading Education"",
REGEXMATCH(LOWER(A26),""interview|journey|talks|wisdom""),""Expert Interview / Trading Insights"",
REGEXMATCH(LOWER(A26),""risk|loss|drawdown|psychology""),""Trading Psychology / Risk Management"",
REGEXMATCH(LOWER(A26),""commodity|crud"&amp;"e|gold|natural gas""),""Commodity Trading Education"",
TRUE,""General Trading Education""
)
"),"Beginner Trading Education")</f>
        <v>Beginner Trading Education</v>
      </c>
    </row>
    <row r="27" ht="15.75" customHeight="1">
      <c r="A27" s="1" t="s">
        <v>139</v>
      </c>
      <c r="B27" s="3" t="s">
        <v>140</v>
      </c>
      <c r="C27" s="1" t="s">
        <v>141</v>
      </c>
      <c r="D27" s="1" t="s">
        <v>142</v>
      </c>
      <c r="E27" s="4">
        <v>45928.0</v>
      </c>
      <c r="F27" s="5">
        <v>0.3368055555555556</v>
      </c>
      <c r="G27" s="1">
        <v>5597.0</v>
      </c>
      <c r="H27" s="1">
        <v>301.0</v>
      </c>
      <c r="I27" s="1">
        <v>18.0</v>
      </c>
      <c r="J27" s="3" t="s">
        <v>143</v>
      </c>
      <c r="K27" s="6">
        <f t="shared" si="1"/>
        <v>5.699481865</v>
      </c>
      <c r="L27" s="7">
        <f t="shared" si="2"/>
        <v>485</v>
      </c>
      <c r="M27" s="8">
        <f t="shared" si="3"/>
        <v>45922</v>
      </c>
      <c r="N27" s="9" t="str">
        <f>IFERROR(__xludf.DUMMYFUNCTION("IFS(
REGEXMATCH(LOWER(A27),""option|options""),""Options Strategy Education"",
REGEXMATCH(LOWER(A27),""bank nifty|nifty|index""),""Index Options"",
REGEXMATCH(LOWER(A27),""algo|api|systematic""),""Algo Trading / API Tutorial"",
REGEXMATCH(LOWER(A27),""gro"&amp;"ww|mtf|margin|pledge""),""Platform / Groww Feature Tutorial"",
REGEXMATCH(LOWER(A27),""candlestick|chart|price action|trendline|rsi|indicator""),""Technical Analysis / Chart Patterns"",
REGEXMATCH(LOWER(A27),""beginner|guide|start trading""),""Beginner Tr"&amp;"ading Education"",
REGEXMATCH(LOWER(A27),""interview|journey|talks|wisdom""),""Expert Interview / Trading Insights"",
REGEXMATCH(LOWER(A27),""risk|loss|drawdown|psychology""),""Trading Psychology / Risk Management"",
REGEXMATCH(LOWER(A27),""commodity|crud"&amp;"e|gold|natural gas""),""Commodity Trading Education"",
TRUE,""General Trading Education""
)
"),"Technical Analysis / Chart Patterns")</f>
        <v>Technical Analysis / Chart Patterns</v>
      </c>
    </row>
    <row r="28" ht="15.75" customHeight="1">
      <c r="A28" s="1" t="s">
        <v>144</v>
      </c>
      <c r="B28" s="3" t="s">
        <v>145</v>
      </c>
      <c r="C28" s="1" t="s">
        <v>146</v>
      </c>
      <c r="D28" s="1" t="s">
        <v>147</v>
      </c>
      <c r="E28" s="4">
        <v>45928.0</v>
      </c>
      <c r="F28" s="10">
        <v>1.9951388888888888</v>
      </c>
      <c r="G28" s="1">
        <v>7145.0</v>
      </c>
      <c r="H28" s="1">
        <v>234.0</v>
      </c>
      <c r="I28" s="1">
        <v>8.0</v>
      </c>
      <c r="J28" s="3" t="s">
        <v>148</v>
      </c>
      <c r="K28" s="6">
        <f t="shared" si="1"/>
        <v>3.386983905</v>
      </c>
      <c r="L28" s="7">
        <f t="shared" si="2"/>
        <v>2873</v>
      </c>
      <c r="M28" s="8">
        <f t="shared" si="3"/>
        <v>45922</v>
      </c>
      <c r="N28" s="9" t="str">
        <f>IFERROR(__xludf.DUMMYFUNCTION("IFS(
REGEXMATCH(LOWER(A28),""option|options""),""Options Strategy Education"",
REGEXMATCH(LOWER(A28),""bank nifty|nifty|index""),""Index Options"",
REGEXMATCH(LOWER(A28),""algo|api|systematic""),""Algo Trading / API Tutorial"",
REGEXMATCH(LOWER(A28),""gro"&amp;"ww|mtf|margin|pledge""),""Platform / Groww Feature Tutorial"",
REGEXMATCH(LOWER(A28),""candlestick|chart|price action|trendline|rsi|indicator""),""Technical Analysis / Chart Patterns"",
REGEXMATCH(LOWER(A28),""beginner|guide|start trading""),""Beginner Tr"&amp;"ading Education"",
REGEXMATCH(LOWER(A28),""interview|journey|talks|wisdom""),""Expert Interview / Trading Insights"",
REGEXMATCH(LOWER(A28),""risk|loss|drawdown|psychology""),""Trading Psychology / Risk Management"",
REGEXMATCH(LOWER(A28),""commodity|crud"&amp;"e|gold|natural gas""),""Commodity Trading Education"",
TRUE,""General Trading Education""
)
"),"Technical Analysis / Chart Patterns")</f>
        <v>Technical Analysis / Chart Patterns</v>
      </c>
    </row>
    <row r="29" ht="15.75" customHeight="1">
      <c r="A29" s="1" t="s">
        <v>149</v>
      </c>
      <c r="B29" s="3" t="s">
        <v>150</v>
      </c>
      <c r="C29" s="1" t="s">
        <v>151</v>
      </c>
      <c r="D29" s="1" t="s">
        <v>152</v>
      </c>
      <c r="E29" s="4">
        <v>45927.0</v>
      </c>
      <c r="F29" s="12">
        <v>0.053495370370370374</v>
      </c>
      <c r="G29" s="1">
        <v>3901.0</v>
      </c>
      <c r="H29" s="1">
        <v>124.0</v>
      </c>
      <c r="I29" s="1">
        <v>7.0</v>
      </c>
      <c r="J29" s="3" t="s">
        <v>153</v>
      </c>
      <c r="K29" s="6">
        <f t="shared" si="1"/>
        <v>3.358113304</v>
      </c>
      <c r="L29" s="7">
        <f t="shared" si="2"/>
        <v>77.03333333</v>
      </c>
      <c r="M29" s="8">
        <f t="shared" si="3"/>
        <v>45922</v>
      </c>
      <c r="N29" s="9" t="str">
        <f>IFERROR(__xludf.DUMMYFUNCTION("IFS(
REGEXMATCH(LOWER(A29),""option|options""),""Options Strategy Education"",
REGEXMATCH(LOWER(A29),""bank nifty|nifty|index""),""Index Options"",
REGEXMATCH(LOWER(A29),""algo|api|systematic""),""Algo Trading / API Tutorial"",
REGEXMATCH(LOWER(A29),""gro"&amp;"ww|mtf|margin|pledge""),""Platform / Groww Feature Tutorial"",
REGEXMATCH(LOWER(A29),""candlestick|chart|price action|trendline|rsi|indicator""),""Technical Analysis / Chart Patterns"",
REGEXMATCH(LOWER(A29),""beginner|guide|start trading""),""Beginner Tr"&amp;"ading Education"",
REGEXMATCH(LOWER(A29),""interview|journey|talks|wisdom""),""Expert Interview / Trading Insights"",
REGEXMATCH(LOWER(A29),""risk|loss|drawdown|psychology""),""Trading Psychology / Risk Management"",
REGEXMATCH(LOWER(A29),""commodity|crud"&amp;"e|gold|natural gas""),""Commodity Trading Education"",
TRUE,""General Trading Education""
)
"),"Algo Trading / API Tutorial")</f>
        <v>Algo Trading / API Tutorial</v>
      </c>
    </row>
    <row r="30" ht="15.75" customHeight="1">
      <c r="A30" s="1" t="s">
        <v>154</v>
      </c>
      <c r="B30" s="3" t="s">
        <v>155</v>
      </c>
      <c r="C30" s="1" t="s">
        <v>156</v>
      </c>
      <c r="D30" s="1" t="s">
        <v>157</v>
      </c>
      <c r="E30" s="4">
        <v>45921.0</v>
      </c>
      <c r="F30" s="10">
        <v>1.398611111111111</v>
      </c>
      <c r="G30" s="1">
        <v>5766.0</v>
      </c>
      <c r="H30" s="1">
        <v>159.0</v>
      </c>
      <c r="I30" s="1">
        <v>23.0</v>
      </c>
      <c r="J30" s="3" t="s">
        <v>158</v>
      </c>
      <c r="K30" s="6">
        <f t="shared" si="1"/>
        <v>3.15643427</v>
      </c>
      <c r="L30" s="7">
        <f t="shared" si="2"/>
        <v>2014</v>
      </c>
      <c r="M30" s="8">
        <f t="shared" si="3"/>
        <v>45915</v>
      </c>
      <c r="N30" s="9" t="str">
        <f>IFERROR(__xludf.DUMMYFUNCTION("IFS(
REGEXMATCH(LOWER(A30),""option|options""),""Options Strategy Education"",
REGEXMATCH(LOWER(A30),""bank nifty|nifty|index""),""Index Options"",
REGEXMATCH(LOWER(A30),""algo|api|systematic""),""Algo Trading / API Tutorial"",
REGEXMATCH(LOWER(A30),""gro"&amp;"ww|mtf|margin|pledge""),""Platform / Groww Feature Tutorial"",
REGEXMATCH(LOWER(A30),""candlestick|chart|price action|trendline|rsi|indicator""),""Technical Analysis / Chart Patterns"",
REGEXMATCH(LOWER(A30),""beginner|guide|start trading""),""Beginner Tr"&amp;"ading Education"",
REGEXMATCH(LOWER(A30),""interview|journey|talks|wisdom""),""Expert Interview / Trading Insights"",
REGEXMATCH(LOWER(A30),""risk|loss|drawdown|psychology""),""Trading Psychology / Risk Management"",
REGEXMATCH(LOWER(A30),""commodity|crud"&amp;"e|gold|natural gas""),""Commodity Trading Education"",
TRUE,""General Trading Education""
)
"),"Options Strategy Education")</f>
        <v>Options Strategy Education</v>
      </c>
    </row>
    <row r="31" ht="15.75" customHeight="1">
      <c r="A31" s="1" t="s">
        <v>159</v>
      </c>
      <c r="B31" s="3" t="s">
        <v>160</v>
      </c>
      <c r="C31" s="1" t="s">
        <v>161</v>
      </c>
      <c r="D31" s="1" t="s">
        <v>162</v>
      </c>
      <c r="E31" s="4">
        <v>45920.0</v>
      </c>
      <c r="F31" s="5">
        <v>0.28125</v>
      </c>
      <c r="G31" s="1">
        <v>2159.0</v>
      </c>
      <c r="H31" s="1">
        <v>76.0</v>
      </c>
      <c r="I31" s="1">
        <v>3.0</v>
      </c>
      <c r="J31" s="3" t="s">
        <v>163</v>
      </c>
      <c r="K31" s="6">
        <f t="shared" si="1"/>
        <v>3.659101436</v>
      </c>
      <c r="L31" s="7">
        <f t="shared" si="2"/>
        <v>405</v>
      </c>
      <c r="M31" s="8">
        <f t="shared" si="3"/>
        <v>45915</v>
      </c>
      <c r="N31" s="9" t="str">
        <f>IFERROR(__xludf.DUMMYFUNCTION("IFS(
REGEXMATCH(LOWER(A31),""option|options""),""Options Strategy Education"",
REGEXMATCH(LOWER(A31),""bank nifty|nifty|index""),""Index Options"",
REGEXMATCH(LOWER(A31),""algo|api|systematic""),""Algo Trading / API Tutorial"",
REGEXMATCH(LOWER(A31),""gro"&amp;"ww|mtf|margin|pledge""),""Platform / Groww Feature Tutorial"",
REGEXMATCH(LOWER(A31),""candlestick|chart|price action|trendline|rsi|indicator""),""Technical Analysis / Chart Patterns"",
REGEXMATCH(LOWER(A31),""beginner|guide|start trading""),""Beginner Tr"&amp;"ading Education"",
REGEXMATCH(LOWER(A31),""interview|journey|talks|wisdom""),""Expert Interview / Trading Insights"",
REGEXMATCH(LOWER(A31),""risk|loss|drawdown|psychology""),""Trading Psychology / Risk Management"",
REGEXMATCH(LOWER(A31),""commodity|crud"&amp;"e|gold|natural gas""),""Commodity Trading Education"",
TRUE,""General Trading Education""
)
"),"Trading Psychology / Risk Management")</f>
        <v>Trading Psychology / Risk Management</v>
      </c>
    </row>
    <row r="32" ht="15.75" customHeight="1">
      <c r="A32" s="1" t="s">
        <v>164</v>
      </c>
      <c r="B32" s="3" t="s">
        <v>165</v>
      </c>
      <c r="C32" s="1" t="s">
        <v>166</v>
      </c>
      <c r="D32" s="1" t="s">
        <v>167</v>
      </c>
      <c r="E32" s="4">
        <v>45912.0</v>
      </c>
      <c r="F32" s="10">
        <v>1.2395833333333333</v>
      </c>
      <c r="G32" s="1">
        <v>3684.0</v>
      </c>
      <c r="H32" s="1">
        <v>105.0</v>
      </c>
      <c r="I32" s="1">
        <v>7.0</v>
      </c>
      <c r="J32" s="3" t="s">
        <v>168</v>
      </c>
      <c r="K32" s="6">
        <f t="shared" si="1"/>
        <v>3.040173724</v>
      </c>
      <c r="L32" s="7">
        <f t="shared" si="2"/>
        <v>1785</v>
      </c>
      <c r="M32" s="8">
        <f t="shared" si="3"/>
        <v>45908</v>
      </c>
      <c r="N32" s="9" t="str">
        <f>IFERROR(__xludf.DUMMYFUNCTION("IFS(
REGEXMATCH(LOWER(A32),""option|options""),""Options Strategy Education"",
REGEXMATCH(LOWER(A32),""bank nifty|nifty|index""),""Index Options"",
REGEXMATCH(LOWER(A32),""algo|api|systematic""),""Algo Trading / API Tutorial"",
REGEXMATCH(LOWER(A32),""gro"&amp;"ww|mtf|margin|pledge""),""Platform / Groww Feature Tutorial"",
REGEXMATCH(LOWER(A32),""candlestick|chart|price action|trendline|rsi|indicator""),""Technical Analysis / Chart Patterns"",
REGEXMATCH(LOWER(A32),""beginner|guide|start trading""),""Beginner Tr"&amp;"ading Education"",
REGEXMATCH(LOWER(A32),""interview|journey|talks|wisdom""),""Expert Interview / Trading Insights"",
REGEXMATCH(LOWER(A32),""risk|loss|drawdown|psychology""),""Trading Psychology / Risk Management"",
REGEXMATCH(LOWER(A32),""commodity|crud"&amp;"e|gold|natural gas""),""Commodity Trading Education"",
TRUE,""General Trading Education""
)
"),"General Trading Education")</f>
        <v>General Trading Education</v>
      </c>
    </row>
    <row r="33" ht="15.75" customHeight="1">
      <c r="A33" s="1" t="s">
        <v>169</v>
      </c>
      <c r="B33" s="3" t="s">
        <v>170</v>
      </c>
      <c r="C33" s="1" t="s">
        <v>171</v>
      </c>
      <c r="D33" s="1" t="s">
        <v>172</v>
      </c>
      <c r="E33" s="4">
        <v>45909.0</v>
      </c>
      <c r="F33" s="10">
        <v>1.5034722222222223</v>
      </c>
      <c r="G33" s="1">
        <v>4022.0</v>
      </c>
      <c r="H33" s="1">
        <v>133.0</v>
      </c>
      <c r="I33" s="1">
        <v>23.0</v>
      </c>
      <c r="J33" s="3" t="s">
        <v>173</v>
      </c>
      <c r="K33" s="6">
        <f t="shared" si="1"/>
        <v>3.87866733</v>
      </c>
      <c r="L33" s="7">
        <f t="shared" si="2"/>
        <v>2165</v>
      </c>
      <c r="M33" s="8">
        <f t="shared" si="3"/>
        <v>45908</v>
      </c>
      <c r="N33" s="9" t="str">
        <f>IFERROR(__xludf.DUMMYFUNCTION("IFS(
REGEXMATCH(LOWER(A33),""option|options""),""Options Strategy Education"",
REGEXMATCH(LOWER(A33),""bank nifty|nifty|index""),""Index Options"",
REGEXMATCH(LOWER(A33),""algo|api|systematic""),""Algo Trading / API Tutorial"",
REGEXMATCH(LOWER(A33),""gro"&amp;"ww|mtf|margin|pledge""),""Platform / Groww Feature Tutorial"",
REGEXMATCH(LOWER(A33),""candlestick|chart|price action|trendline|rsi|indicator""),""Technical Analysis / Chart Patterns"",
REGEXMATCH(LOWER(A33),""beginner|guide|start trading""),""Beginner Tr"&amp;"ading Education"",
REGEXMATCH(LOWER(A33),""interview|journey|talks|wisdom""),""Expert Interview / Trading Insights"",
REGEXMATCH(LOWER(A33),""risk|loss|drawdown|psychology""),""Trading Psychology / Risk Management"",
REGEXMATCH(LOWER(A33),""commodity|crud"&amp;"e|gold|natural gas""),""Commodity Trading Education"",
TRUE,""General Trading Education""
)
"),"Options Strategy Education")</f>
        <v>Options Strategy Education</v>
      </c>
    </row>
    <row r="34" ht="15.75" customHeight="1">
      <c r="A34" s="1" t="s">
        <v>174</v>
      </c>
      <c r="B34" s="3" t="s">
        <v>175</v>
      </c>
      <c r="C34" s="1" t="s">
        <v>176</v>
      </c>
      <c r="D34" s="1" t="s">
        <v>177</v>
      </c>
      <c r="E34" s="4">
        <v>45906.0</v>
      </c>
      <c r="F34" s="10">
        <v>1.9791666666666667</v>
      </c>
      <c r="G34" s="1">
        <v>8374.0</v>
      </c>
      <c r="H34" s="1">
        <v>248.0</v>
      </c>
      <c r="I34" s="1">
        <v>22.0</v>
      </c>
      <c r="J34" s="3" t="s">
        <v>178</v>
      </c>
      <c r="K34" s="6">
        <f t="shared" si="1"/>
        <v>3.224265584</v>
      </c>
      <c r="L34" s="7">
        <f t="shared" si="2"/>
        <v>2850</v>
      </c>
      <c r="M34" s="8">
        <f t="shared" si="3"/>
        <v>45901</v>
      </c>
      <c r="N34" s="9" t="str">
        <f>IFERROR(__xludf.DUMMYFUNCTION("IFS(
REGEXMATCH(LOWER(A34),""option|options""),""Options Strategy Education"",
REGEXMATCH(LOWER(A34),""bank nifty|nifty|index""),""Index Options"",
REGEXMATCH(LOWER(A34),""algo|api|systematic""),""Algo Trading / API Tutorial"",
REGEXMATCH(LOWER(A34),""gro"&amp;"ww|mtf|margin|pledge""),""Platform / Groww Feature Tutorial"",
REGEXMATCH(LOWER(A34),""candlestick|chart|price action|trendline|rsi|indicator""),""Technical Analysis / Chart Patterns"",
REGEXMATCH(LOWER(A34),""beginner|guide|start trading""),""Beginner Tr"&amp;"ading Education"",
REGEXMATCH(LOWER(A34),""interview|journey|talks|wisdom""),""Expert Interview / Trading Insights"",
REGEXMATCH(LOWER(A34),""risk|loss|drawdown|psychology""),""Trading Psychology / Risk Management"",
REGEXMATCH(LOWER(A34),""commodity|crud"&amp;"e|gold|natural gas""),""Commodity Trading Education"",
TRUE,""General Trading Education""
)
"),"Technical Analysis / Chart Patterns")</f>
        <v>Technical Analysis / Chart Patterns</v>
      </c>
    </row>
    <row r="35" ht="15.75" customHeight="1">
      <c r="A35" s="1" t="s">
        <v>179</v>
      </c>
      <c r="B35" s="3" t="s">
        <v>180</v>
      </c>
      <c r="C35" s="1" t="s">
        <v>181</v>
      </c>
      <c r="D35" s="1" t="s">
        <v>182</v>
      </c>
      <c r="E35" s="4">
        <v>45904.0</v>
      </c>
      <c r="F35" s="5">
        <v>0.40694444444444444</v>
      </c>
      <c r="G35" s="1">
        <v>1478.0</v>
      </c>
      <c r="H35" s="1">
        <v>77.0</v>
      </c>
      <c r="I35" s="1">
        <v>2.0</v>
      </c>
      <c r="J35" s="3" t="s">
        <v>183</v>
      </c>
      <c r="K35" s="6">
        <f t="shared" si="1"/>
        <v>5.345060893</v>
      </c>
      <c r="L35" s="7">
        <f t="shared" si="2"/>
        <v>586</v>
      </c>
      <c r="M35" s="8">
        <f t="shared" si="3"/>
        <v>45901</v>
      </c>
      <c r="N35" s="9" t="str">
        <f>IFERROR(__xludf.DUMMYFUNCTION("IFS(
REGEXMATCH(LOWER(A35),""option|options""),""Options Strategy Education"",
REGEXMATCH(LOWER(A35),""bank nifty|nifty|index""),""Index Options"",
REGEXMATCH(LOWER(A35),""algo|api|systematic""),""Algo Trading / API Tutorial"",
REGEXMATCH(LOWER(A35),""gro"&amp;"ww|mtf|margin|pledge""),""Platform / Groww Feature Tutorial"",
REGEXMATCH(LOWER(A35),""candlestick|chart|price action|trendline|rsi|indicator""),""Technical Analysis / Chart Patterns"",
REGEXMATCH(LOWER(A35),""beginner|guide|start trading""),""Beginner Tr"&amp;"ading Education"",
REGEXMATCH(LOWER(A35),""interview|journey|talks|wisdom""),""Expert Interview / Trading Insights"",
REGEXMATCH(LOWER(A35),""risk|loss|drawdown|psychology""),""Trading Psychology / Risk Management"",
REGEXMATCH(LOWER(A35),""commodity|crud"&amp;"e|gold|natural gas""),""Commodity Trading Education"",
TRUE,""General Trading Education""
)
"),"General Trading Education")</f>
        <v>General Trading Education</v>
      </c>
    </row>
    <row r="36" ht="15.75" customHeight="1">
      <c r="A36" s="1" t="s">
        <v>184</v>
      </c>
      <c r="B36" s="3" t="s">
        <v>185</v>
      </c>
      <c r="C36" s="1" t="s">
        <v>186</v>
      </c>
      <c r="D36" s="1" t="s">
        <v>187</v>
      </c>
      <c r="E36" s="4">
        <v>45903.0</v>
      </c>
      <c r="F36" s="5">
        <v>0.42916666666666664</v>
      </c>
      <c r="G36" s="1">
        <v>8301.0</v>
      </c>
      <c r="H36" s="1">
        <v>284.0</v>
      </c>
      <c r="I36" s="1">
        <v>28.0</v>
      </c>
      <c r="J36" s="3" t="s">
        <v>188</v>
      </c>
      <c r="K36" s="6">
        <f t="shared" si="1"/>
        <v>3.758583303</v>
      </c>
      <c r="L36" s="7">
        <f t="shared" si="2"/>
        <v>618</v>
      </c>
      <c r="M36" s="8">
        <f t="shared" si="3"/>
        <v>45901</v>
      </c>
      <c r="N36" s="9" t="str">
        <f>IFERROR(__xludf.DUMMYFUNCTION("IFS(
REGEXMATCH(LOWER(A36),""option|options""),""Options Strategy Education"",
REGEXMATCH(LOWER(A36),""bank nifty|nifty|index""),""Index Options"",
REGEXMATCH(LOWER(A36),""algo|api|systematic""),""Algo Trading / API Tutorial"",
REGEXMATCH(LOWER(A36),""gro"&amp;"ww|mtf|margin|pledge""),""Platform / Groww Feature Tutorial"",
REGEXMATCH(LOWER(A36),""candlestick|chart|price action|trendline|rsi|indicator""),""Technical Analysis / Chart Patterns"",
REGEXMATCH(LOWER(A36),""beginner|guide|start trading""),""Beginner Tr"&amp;"ading Education"",
REGEXMATCH(LOWER(A36),""interview|journey|talks|wisdom""),""Expert Interview / Trading Insights"",
REGEXMATCH(LOWER(A36),""risk|loss|drawdown|psychology""),""Trading Psychology / Risk Management"",
REGEXMATCH(LOWER(A36),""commodity|crud"&amp;"e|gold|natural gas""),""Commodity Trading Education"",
TRUE,""General Trading Education""
)
"),"Options Strategy Education")</f>
        <v>Options Strategy Education</v>
      </c>
    </row>
    <row r="37" ht="15.75" customHeight="1">
      <c r="A37" s="1" t="s">
        <v>189</v>
      </c>
      <c r="B37" s="3" t="s">
        <v>190</v>
      </c>
      <c r="C37" s="1" t="s">
        <v>191</v>
      </c>
      <c r="D37" s="1" t="s">
        <v>192</v>
      </c>
      <c r="E37" s="4">
        <v>45900.0</v>
      </c>
      <c r="F37" s="10">
        <v>2.433333333333333</v>
      </c>
      <c r="G37" s="1">
        <v>12643.0</v>
      </c>
      <c r="H37" s="1">
        <v>282.0</v>
      </c>
      <c r="I37" s="1">
        <v>20.0</v>
      </c>
      <c r="J37" s="3" t="s">
        <v>193</v>
      </c>
      <c r="K37" s="6">
        <f t="shared" si="1"/>
        <v>2.388673574</v>
      </c>
      <c r="L37" s="7">
        <f t="shared" si="2"/>
        <v>3504</v>
      </c>
      <c r="M37" s="8">
        <f t="shared" si="3"/>
        <v>45894</v>
      </c>
      <c r="N37" s="9" t="str">
        <f>IFERROR(__xludf.DUMMYFUNCTION("IFS(
REGEXMATCH(LOWER(A37),""option|options""),""Options Strategy Education"",
REGEXMATCH(LOWER(A37),""bank nifty|nifty|index""),""Index Options"",
REGEXMATCH(LOWER(A37),""algo|api|systematic""),""Algo Trading / API Tutorial"",
REGEXMATCH(LOWER(A37),""gro"&amp;"ww|mtf|margin|pledge""),""Platform / Groww Feature Tutorial"",
REGEXMATCH(LOWER(A37),""candlestick|chart|price action|trendline|rsi|indicator""),""Technical Analysis / Chart Patterns"",
REGEXMATCH(LOWER(A37),""beginner|guide|start trading""),""Beginner Tr"&amp;"ading Education"",
REGEXMATCH(LOWER(A37),""interview|journey|talks|wisdom""),""Expert Interview / Trading Insights"",
REGEXMATCH(LOWER(A37),""risk|loss|drawdown|psychology""),""Trading Psychology / Risk Management"",
REGEXMATCH(LOWER(A37),""commodity|crud"&amp;"e|gold|natural gas""),""Commodity Trading Education"",
TRUE,""General Trading Education""
)
"),"Trading Psychology / Risk Management")</f>
        <v>Trading Psychology / Risk Management</v>
      </c>
    </row>
    <row r="38" ht="15.75" customHeight="1">
      <c r="A38" s="1" t="s">
        <v>194</v>
      </c>
      <c r="B38" s="3" t="s">
        <v>195</v>
      </c>
      <c r="C38" s="1" t="s">
        <v>196</v>
      </c>
      <c r="D38" s="1" t="s">
        <v>197</v>
      </c>
      <c r="E38" s="4">
        <v>45898.0</v>
      </c>
      <c r="F38" s="10">
        <v>1.2090277777777778</v>
      </c>
      <c r="G38" s="1">
        <v>2878.0</v>
      </c>
      <c r="H38" s="1">
        <v>86.0</v>
      </c>
      <c r="I38" s="1">
        <v>10.0</v>
      </c>
      <c r="J38" s="3" t="s">
        <v>198</v>
      </c>
      <c r="K38" s="6">
        <f t="shared" si="1"/>
        <v>3.335649757</v>
      </c>
      <c r="L38" s="7">
        <f t="shared" si="2"/>
        <v>1741</v>
      </c>
      <c r="M38" s="8">
        <f t="shared" si="3"/>
        <v>45894</v>
      </c>
      <c r="N38" s="9" t="str">
        <f>IFERROR(__xludf.DUMMYFUNCTION("IFS(
REGEXMATCH(LOWER(A38),""option|options""),""Options Strategy Education"",
REGEXMATCH(LOWER(A38),""bank nifty|nifty|index""),""Index Options"",
REGEXMATCH(LOWER(A38),""algo|api|systematic""),""Algo Trading / API Tutorial"",
REGEXMATCH(LOWER(A38),""gro"&amp;"ww|mtf|margin|pledge""),""Platform / Groww Feature Tutorial"",
REGEXMATCH(LOWER(A38),""candlestick|chart|price action|trendline|rsi|indicator""),""Technical Analysis / Chart Patterns"",
REGEXMATCH(LOWER(A38),""beginner|guide|start trading""),""Beginner Tr"&amp;"ading Education"",
REGEXMATCH(LOWER(A38),""interview|journey|talks|wisdom""),""Expert Interview / Trading Insights"",
REGEXMATCH(LOWER(A38),""risk|loss|drawdown|psychology""),""Trading Psychology / Risk Management"",
REGEXMATCH(LOWER(A38),""commodity|crud"&amp;"e|gold|natural gas""),""Commodity Trading Education"",
TRUE,""General Trading Education""
)
"),"General Trading Education")</f>
        <v>General Trading Education</v>
      </c>
    </row>
    <row r="39" ht="15.75" customHeight="1">
      <c r="A39" s="1" t="s">
        <v>199</v>
      </c>
      <c r="B39" s="3" t="s">
        <v>200</v>
      </c>
      <c r="C39" s="1" t="s">
        <v>201</v>
      </c>
      <c r="D39" s="1" t="s">
        <v>202</v>
      </c>
      <c r="E39" s="4">
        <v>45896.0</v>
      </c>
      <c r="F39" s="10">
        <v>1.0888888888888888</v>
      </c>
      <c r="G39" s="1">
        <v>5198.0</v>
      </c>
      <c r="H39" s="1">
        <v>239.0</v>
      </c>
      <c r="I39" s="1">
        <v>24.0</v>
      </c>
      <c r="J39" s="3" t="s">
        <v>203</v>
      </c>
      <c r="K39" s="6">
        <f t="shared" si="1"/>
        <v>5.059638322</v>
      </c>
      <c r="L39" s="7">
        <f t="shared" si="2"/>
        <v>1568</v>
      </c>
      <c r="M39" s="8">
        <f t="shared" si="3"/>
        <v>45894</v>
      </c>
      <c r="N39" s="9" t="str">
        <f>IFERROR(__xludf.DUMMYFUNCTION("IFS(
REGEXMATCH(LOWER(A39),""option|options""),""Options Strategy Education"",
REGEXMATCH(LOWER(A39),""bank nifty|nifty|index""),""Index Options"",
REGEXMATCH(LOWER(A39),""algo|api|systematic""),""Algo Trading / API Tutorial"",
REGEXMATCH(LOWER(A39),""gro"&amp;"ww|mtf|margin|pledge""),""Platform / Groww Feature Tutorial"",
REGEXMATCH(LOWER(A39),""candlestick|chart|price action|trendline|rsi|indicator""),""Technical Analysis / Chart Patterns"",
REGEXMATCH(LOWER(A39),""beginner|guide|start trading""),""Beginner Tr"&amp;"ading Education"",
REGEXMATCH(LOWER(A39),""interview|journey|talks|wisdom""),""Expert Interview / Trading Insights"",
REGEXMATCH(LOWER(A39),""risk|loss|drawdown|psychology""),""Trading Psychology / Risk Management"",
REGEXMATCH(LOWER(A39),""commodity|crud"&amp;"e|gold|natural gas""),""Commodity Trading Education"",
TRUE,""General Trading Education""
)
"),"Technical Analysis / Chart Patterns")</f>
        <v>Technical Analysis / Chart Patterns</v>
      </c>
    </row>
    <row r="40" ht="15.75" customHeight="1">
      <c r="A40" s="1" t="s">
        <v>204</v>
      </c>
      <c r="B40" s="3" t="s">
        <v>205</v>
      </c>
      <c r="C40" s="1" t="s">
        <v>206</v>
      </c>
      <c r="D40" s="1" t="s">
        <v>207</v>
      </c>
      <c r="E40" s="4">
        <v>45893.0</v>
      </c>
      <c r="F40" s="10">
        <v>1.1430555555555555</v>
      </c>
      <c r="G40" s="1">
        <v>4005.0</v>
      </c>
      <c r="H40" s="1">
        <v>122.0</v>
      </c>
      <c r="I40" s="1">
        <v>5.0</v>
      </c>
      <c r="J40" s="3" t="s">
        <v>208</v>
      </c>
      <c r="K40" s="6">
        <f t="shared" si="1"/>
        <v>3.171036205</v>
      </c>
      <c r="L40" s="7">
        <f t="shared" si="2"/>
        <v>1646</v>
      </c>
      <c r="M40" s="8">
        <f t="shared" si="3"/>
        <v>45887</v>
      </c>
      <c r="N40" s="9" t="str">
        <f>IFERROR(__xludf.DUMMYFUNCTION("IFS(
REGEXMATCH(LOWER(A40),""option|options""),""Options Strategy Education"",
REGEXMATCH(LOWER(A40),""bank nifty|nifty|index""),""Index Options"",
REGEXMATCH(LOWER(A40),""algo|api|systematic""),""Algo Trading / API Tutorial"",
REGEXMATCH(LOWER(A40),""gro"&amp;"ww|mtf|margin|pledge""),""Platform / Groww Feature Tutorial"",
REGEXMATCH(LOWER(A40),""candlestick|chart|price action|trendline|rsi|indicator""),""Technical Analysis / Chart Patterns"",
REGEXMATCH(LOWER(A40),""beginner|guide|start trading""),""Beginner Tr"&amp;"ading Education"",
REGEXMATCH(LOWER(A40),""interview|journey|talks|wisdom""),""Expert Interview / Trading Insights"",
REGEXMATCH(LOWER(A40),""risk|loss|drawdown|psychology""),""Trading Psychology / Risk Management"",
REGEXMATCH(LOWER(A40),""commodity|crud"&amp;"e|gold|natural gas""),""Commodity Trading Education"",
TRUE,""General Trading Education""
)
"),"General Trading Education")</f>
        <v>General Trading Education</v>
      </c>
    </row>
    <row r="41" ht="15.75" customHeight="1">
      <c r="A41" s="1" t="s">
        <v>209</v>
      </c>
      <c r="B41" s="3" t="s">
        <v>210</v>
      </c>
      <c r="C41" s="1" t="s">
        <v>211</v>
      </c>
      <c r="D41" s="1" t="s">
        <v>212</v>
      </c>
      <c r="E41" s="4">
        <v>45890.0</v>
      </c>
      <c r="F41" s="5">
        <v>0.20555555555555555</v>
      </c>
      <c r="G41" s="1">
        <v>4770.0</v>
      </c>
      <c r="H41" s="1">
        <v>145.0</v>
      </c>
      <c r="I41" s="1">
        <v>23.0</v>
      </c>
      <c r="J41" s="3" t="s">
        <v>213</v>
      </c>
      <c r="K41" s="6">
        <f t="shared" si="1"/>
        <v>3.522012579</v>
      </c>
      <c r="L41" s="7">
        <f t="shared" si="2"/>
        <v>296</v>
      </c>
      <c r="M41" s="8">
        <f t="shared" si="3"/>
        <v>45887</v>
      </c>
      <c r="N41" s="9" t="str">
        <f>IFERROR(__xludf.DUMMYFUNCTION("IFS(
REGEXMATCH(LOWER(A41),""option|options""),""Options Strategy Education"",
REGEXMATCH(LOWER(A41),""bank nifty|nifty|index""),""Index Options"",
REGEXMATCH(LOWER(A41),""algo|api|systematic""),""Algo Trading / API Tutorial"",
REGEXMATCH(LOWER(A41),""gro"&amp;"ww|mtf|margin|pledge""),""Platform / Groww Feature Tutorial"",
REGEXMATCH(LOWER(A41),""candlestick|chart|price action|trendline|rsi|indicator""),""Technical Analysis / Chart Patterns"",
REGEXMATCH(LOWER(A41),""beginner|guide|start trading""),""Beginner Tr"&amp;"ading Education"",
REGEXMATCH(LOWER(A41),""interview|journey|talks|wisdom""),""Expert Interview / Trading Insights"",
REGEXMATCH(LOWER(A41),""risk|loss|drawdown|psychology""),""Trading Psychology / Risk Management"",
REGEXMATCH(LOWER(A41),""commodity|crud"&amp;"e|gold|natural gas""),""Commodity Trading Education"",
TRUE,""General Trading Education""
)
"),"Platform / Groww Feature Tutorial")</f>
        <v>Platform / Groww Feature Tutorial</v>
      </c>
    </row>
    <row r="42" ht="15.75" customHeight="1">
      <c r="A42" s="1" t="s">
        <v>214</v>
      </c>
      <c r="B42" s="3" t="s">
        <v>215</v>
      </c>
      <c r="C42" s="1" t="s">
        <v>216</v>
      </c>
      <c r="D42" s="1" t="s">
        <v>217</v>
      </c>
      <c r="E42" s="4">
        <v>45886.0</v>
      </c>
      <c r="F42" s="10">
        <v>1.5118055555555556</v>
      </c>
      <c r="G42" s="1">
        <v>33567.0</v>
      </c>
      <c r="H42" s="1">
        <v>792.0</v>
      </c>
      <c r="I42" s="1">
        <v>59.0</v>
      </c>
      <c r="J42" s="3" t="s">
        <v>218</v>
      </c>
      <c r="K42" s="6">
        <f t="shared" si="1"/>
        <v>2.535228051</v>
      </c>
      <c r="L42" s="7">
        <f t="shared" si="2"/>
        <v>2177</v>
      </c>
      <c r="M42" s="8">
        <f t="shared" si="3"/>
        <v>45880</v>
      </c>
      <c r="N42" s="9" t="str">
        <f>IFERROR(__xludf.DUMMYFUNCTION("IFS(
REGEXMATCH(LOWER(A42),""option|options""),""Options Strategy Education"",
REGEXMATCH(LOWER(A42),""bank nifty|nifty|index""),""Index Options"",
REGEXMATCH(LOWER(A42),""algo|api|systematic""),""Algo Trading / API Tutorial"",
REGEXMATCH(LOWER(A42),""gro"&amp;"ww|mtf|margin|pledge""),""Platform / Groww Feature Tutorial"",
REGEXMATCH(LOWER(A42),""candlestick|chart|price action|trendline|rsi|indicator""),""Technical Analysis / Chart Patterns"",
REGEXMATCH(LOWER(A42),""beginner|guide|start trading""),""Beginner Tr"&amp;"ading Education"",
REGEXMATCH(LOWER(A42),""interview|journey|talks|wisdom""),""Expert Interview / Trading Insights"",
REGEXMATCH(LOWER(A42),""risk|loss|drawdown|psychology""),""Trading Psychology / Risk Management"",
REGEXMATCH(LOWER(A42),""commodity|crud"&amp;"e|gold|natural gas""),""Commodity Trading Education"",
TRUE,""General Trading Education""
)
"),"General Trading Education")</f>
        <v>General Trading Education</v>
      </c>
    </row>
    <row r="43" ht="15.75" customHeight="1">
      <c r="A43" s="1" t="s">
        <v>219</v>
      </c>
      <c r="B43" s="3" t="s">
        <v>220</v>
      </c>
      <c r="C43" s="1" t="s">
        <v>221</v>
      </c>
      <c r="D43" s="1" t="s">
        <v>222</v>
      </c>
      <c r="E43" s="4">
        <v>45884.0</v>
      </c>
      <c r="F43" s="10">
        <v>1.4194444444444445</v>
      </c>
      <c r="G43" s="1">
        <v>8282.0</v>
      </c>
      <c r="H43" s="1">
        <v>364.0</v>
      </c>
      <c r="I43" s="1">
        <v>37.0</v>
      </c>
      <c r="J43" s="3" t="s">
        <v>223</v>
      </c>
      <c r="K43" s="6">
        <f t="shared" si="1"/>
        <v>4.841825646</v>
      </c>
      <c r="L43" s="7">
        <f t="shared" si="2"/>
        <v>2044</v>
      </c>
      <c r="M43" s="8">
        <f t="shared" si="3"/>
        <v>45880</v>
      </c>
      <c r="N43" s="9" t="str">
        <f>IFERROR(__xludf.DUMMYFUNCTION("IFS(
REGEXMATCH(LOWER(A43),""option|options""),""Options Strategy Education"",
REGEXMATCH(LOWER(A43),""bank nifty|nifty|index""),""Index Options"",
REGEXMATCH(LOWER(A43),""algo|api|systematic""),""Algo Trading / API Tutorial"",
REGEXMATCH(LOWER(A43),""gro"&amp;"ww|mtf|margin|pledge""),""Platform / Groww Feature Tutorial"",
REGEXMATCH(LOWER(A43),""candlestick|chart|price action|trendline|rsi|indicator""),""Technical Analysis / Chart Patterns"",
REGEXMATCH(LOWER(A43),""beginner|guide|start trading""),""Beginner Tr"&amp;"ading Education"",
REGEXMATCH(LOWER(A43),""interview|journey|talks|wisdom""),""Expert Interview / Trading Insights"",
REGEXMATCH(LOWER(A43),""risk|loss|drawdown|psychology""),""Trading Psychology / Risk Management"",
REGEXMATCH(LOWER(A43),""commodity|crud"&amp;"e|gold|natural gas""),""Commodity Trading Education"",
TRUE,""General Trading Education""
)
"),"Technical Analysis / Chart Patterns")</f>
        <v>Technical Analysis / Chart Patterns</v>
      </c>
    </row>
    <row r="44" ht="15.75" customHeight="1">
      <c r="A44" s="1" t="s">
        <v>224</v>
      </c>
      <c r="B44" s="3" t="s">
        <v>225</v>
      </c>
      <c r="C44" s="1" t="s">
        <v>226</v>
      </c>
      <c r="D44" s="1" t="s">
        <v>227</v>
      </c>
      <c r="E44" s="4">
        <v>45878.0</v>
      </c>
      <c r="F44" s="10">
        <v>2.061111111111111</v>
      </c>
      <c r="G44" s="1">
        <v>8673.0</v>
      </c>
      <c r="H44" s="1">
        <v>313.0</v>
      </c>
      <c r="I44" s="1">
        <v>31.0</v>
      </c>
      <c r="J44" s="3" t="s">
        <v>228</v>
      </c>
      <c r="K44" s="6">
        <f t="shared" si="1"/>
        <v>3.966332296</v>
      </c>
      <c r="L44" s="7">
        <f t="shared" si="2"/>
        <v>2968</v>
      </c>
      <c r="M44" s="8">
        <f t="shared" si="3"/>
        <v>45873</v>
      </c>
      <c r="N44" s="9" t="str">
        <f>IFERROR(__xludf.DUMMYFUNCTION("IFS(
REGEXMATCH(LOWER(A44),""option|options""),""Options Strategy Education"",
REGEXMATCH(LOWER(A44),""bank nifty|nifty|index""),""Index Options"",
REGEXMATCH(LOWER(A44),""algo|api|systematic""),""Algo Trading / API Tutorial"",
REGEXMATCH(LOWER(A44),""gro"&amp;"ww|mtf|margin|pledge""),""Platform / Groww Feature Tutorial"",
REGEXMATCH(LOWER(A44),""candlestick|chart|price action|trendline|rsi|indicator""),""Technical Analysis / Chart Patterns"",
REGEXMATCH(LOWER(A44),""beginner|guide|start trading""),""Beginner Tr"&amp;"ading Education"",
REGEXMATCH(LOWER(A44),""interview|journey|talks|wisdom""),""Expert Interview / Trading Insights"",
REGEXMATCH(LOWER(A44),""risk|loss|drawdown|psychology""),""Trading Psychology / Risk Management"",
REGEXMATCH(LOWER(A44),""commodity|crud"&amp;"e|gold|natural gas""),""Commodity Trading Education"",
TRUE,""General Trading Education""
)
"),"Technical Analysis / Chart Patterns")</f>
        <v>Technical Analysis / Chart Patterns</v>
      </c>
    </row>
    <row r="45" ht="15.75" customHeight="1">
      <c r="A45" s="1" t="s">
        <v>229</v>
      </c>
      <c r="B45" s="3" t="s">
        <v>230</v>
      </c>
      <c r="C45" s="1" t="s">
        <v>231</v>
      </c>
      <c r="D45" s="1" t="s">
        <v>232</v>
      </c>
      <c r="E45" s="4">
        <v>45874.0</v>
      </c>
      <c r="F45" s="5">
        <v>0.7541666666666667</v>
      </c>
      <c r="G45" s="1">
        <v>5138.0</v>
      </c>
      <c r="H45" s="1">
        <v>182.0</v>
      </c>
      <c r="I45" s="1">
        <v>13.0</v>
      </c>
      <c r="J45" s="3" t="s">
        <v>233</v>
      </c>
      <c r="K45" s="6">
        <f t="shared" si="1"/>
        <v>3.79525107</v>
      </c>
      <c r="L45" s="7">
        <f t="shared" si="2"/>
        <v>1086</v>
      </c>
      <c r="M45" s="8">
        <f t="shared" si="3"/>
        <v>45873</v>
      </c>
      <c r="N45" s="9" t="str">
        <f>IFERROR(__xludf.DUMMYFUNCTION("IFS(
REGEXMATCH(LOWER(A45),""option|options""),""Options Strategy Education"",
REGEXMATCH(LOWER(A45),""bank nifty|nifty|index""),""Index Options"",
REGEXMATCH(LOWER(A45),""algo|api|systematic""),""Algo Trading / API Tutorial"",
REGEXMATCH(LOWER(A45),""gro"&amp;"ww|mtf|margin|pledge""),""Platform / Groww Feature Tutorial"",
REGEXMATCH(LOWER(A45),""candlestick|chart|price action|trendline|rsi|indicator""),""Technical Analysis / Chart Patterns"",
REGEXMATCH(LOWER(A45),""beginner|guide|start trading""),""Beginner Tr"&amp;"ading Education"",
REGEXMATCH(LOWER(A45),""interview|journey|talks|wisdom""),""Expert Interview / Trading Insights"",
REGEXMATCH(LOWER(A45),""risk|loss|drawdown|psychology""),""Trading Psychology / Risk Management"",
REGEXMATCH(LOWER(A45),""commodity|crud"&amp;"e|gold|natural gas""),""Commodity Trading Education"",
TRUE,""General Trading Education""
)
"),"General Trading Education")</f>
        <v>General Trading Education</v>
      </c>
    </row>
    <row r="46" ht="15.75" customHeight="1">
      <c r="A46" s="1" t="s">
        <v>234</v>
      </c>
      <c r="B46" s="3" t="s">
        <v>235</v>
      </c>
      <c r="C46" s="1" t="s">
        <v>236</v>
      </c>
      <c r="D46" s="1" t="s">
        <v>237</v>
      </c>
      <c r="E46" s="4">
        <v>45872.0</v>
      </c>
      <c r="F46" s="5">
        <v>0.5513888888888889</v>
      </c>
      <c r="G46" s="1">
        <v>4073.0</v>
      </c>
      <c r="H46" s="1">
        <v>116.0</v>
      </c>
      <c r="I46" s="1">
        <v>8.0</v>
      </c>
      <c r="J46" s="3" t="s">
        <v>238</v>
      </c>
      <c r="K46" s="6">
        <f t="shared" si="1"/>
        <v>3.044438988</v>
      </c>
      <c r="L46" s="7">
        <f t="shared" si="2"/>
        <v>794</v>
      </c>
      <c r="M46" s="8">
        <f t="shared" si="3"/>
        <v>45866</v>
      </c>
      <c r="N46" s="9" t="str">
        <f>IFERROR(__xludf.DUMMYFUNCTION("IFS(
REGEXMATCH(LOWER(A46),""option|options""),""Options Strategy Education"",
REGEXMATCH(LOWER(A46),""bank nifty|nifty|index""),""Index Options"",
REGEXMATCH(LOWER(A46),""algo|api|systematic""),""Algo Trading / API Tutorial"",
REGEXMATCH(LOWER(A46),""gro"&amp;"ww|mtf|margin|pledge""),""Platform / Groww Feature Tutorial"",
REGEXMATCH(LOWER(A46),""candlestick|chart|price action|trendline|rsi|indicator""),""Technical Analysis / Chart Patterns"",
REGEXMATCH(LOWER(A46),""beginner|guide|start trading""),""Beginner Tr"&amp;"ading Education"",
REGEXMATCH(LOWER(A46),""interview|journey|talks|wisdom""),""Expert Interview / Trading Insights"",
REGEXMATCH(LOWER(A46),""risk|loss|drawdown|psychology""),""Trading Psychology / Risk Management"",
REGEXMATCH(LOWER(A46),""commodity|crud"&amp;"e|gold|natural gas""),""Commodity Trading Education"",
TRUE,""General Trading Education""
)
"),"Options Strategy Education")</f>
        <v>Options Strategy Education</v>
      </c>
    </row>
    <row r="47" ht="15.75" customHeight="1">
      <c r="A47" s="1" t="s">
        <v>239</v>
      </c>
      <c r="B47" s="3" t="s">
        <v>240</v>
      </c>
      <c r="C47" s="1" t="s">
        <v>241</v>
      </c>
      <c r="D47" s="1" t="s">
        <v>242</v>
      </c>
      <c r="E47" s="4">
        <v>45870.0</v>
      </c>
      <c r="F47" s="12">
        <v>0.041944444444444444</v>
      </c>
      <c r="G47" s="1">
        <v>12716.0</v>
      </c>
      <c r="H47" s="1">
        <v>259.0</v>
      </c>
      <c r="I47" s="1">
        <v>36.0</v>
      </c>
      <c r="J47" s="3" t="s">
        <v>243</v>
      </c>
      <c r="K47" s="6">
        <f t="shared" si="1"/>
        <v>2.319911922</v>
      </c>
      <c r="L47" s="7">
        <f t="shared" si="2"/>
        <v>60.4</v>
      </c>
      <c r="M47" s="8">
        <f t="shared" si="3"/>
        <v>45866</v>
      </c>
      <c r="N47" s="9" t="str">
        <f>IFERROR(__xludf.DUMMYFUNCTION("IFS(
REGEXMATCH(LOWER(A47),""option|options""),""Options Strategy Education"",
REGEXMATCH(LOWER(A47),""bank nifty|nifty|index""),""Index Options"",
REGEXMATCH(LOWER(A47),""algo|api|systematic""),""Algo Trading / API Tutorial"",
REGEXMATCH(LOWER(A47),""gro"&amp;"ww|mtf|margin|pledge""),""Platform / Groww Feature Tutorial"",
REGEXMATCH(LOWER(A47),""candlestick|chart|price action|trendline|rsi|indicator""),""Technical Analysis / Chart Patterns"",
REGEXMATCH(LOWER(A47),""beginner|guide|start trading""),""Beginner Tr"&amp;"ading Education"",
REGEXMATCH(LOWER(A47),""interview|journey|talks|wisdom""),""Expert Interview / Trading Insights"",
REGEXMATCH(LOWER(A47),""risk|loss|drawdown|psychology""),""Trading Psychology / Risk Management"",
REGEXMATCH(LOWER(A47),""commodity|crud"&amp;"e|gold|natural gas""),""Commodity Trading Education"",
TRUE,""General Trading Education""
)
"),"Options Strategy Education")</f>
        <v>Options Strategy Education</v>
      </c>
    </row>
    <row r="48" ht="15.75" customHeight="1">
      <c r="A48" s="1" t="s">
        <v>244</v>
      </c>
      <c r="B48" s="3" t="s">
        <v>245</v>
      </c>
      <c r="C48" s="1" t="s">
        <v>246</v>
      </c>
      <c r="D48" s="1" t="s">
        <v>247</v>
      </c>
      <c r="E48" s="4">
        <v>45867.0</v>
      </c>
      <c r="F48" s="10">
        <v>1.9479166666666667</v>
      </c>
      <c r="G48" s="1">
        <v>16661.0</v>
      </c>
      <c r="H48" s="1">
        <v>526.0</v>
      </c>
      <c r="I48" s="1">
        <v>36.0</v>
      </c>
      <c r="J48" s="3" t="s">
        <v>248</v>
      </c>
      <c r="K48" s="6">
        <f t="shared" si="1"/>
        <v>3.37314687</v>
      </c>
      <c r="L48" s="7">
        <f t="shared" si="2"/>
        <v>2805</v>
      </c>
      <c r="M48" s="8">
        <f t="shared" si="3"/>
        <v>45866</v>
      </c>
      <c r="N48" s="9" t="str">
        <f>IFERROR(__xludf.DUMMYFUNCTION("IFS(
REGEXMATCH(LOWER(A48),""option|options""),""Options Strategy Education"",
REGEXMATCH(LOWER(A48),""bank nifty|nifty|index""),""Index Options"",
REGEXMATCH(LOWER(A48),""algo|api|systematic""),""Algo Trading / API Tutorial"",
REGEXMATCH(LOWER(A48),""gro"&amp;"ww|mtf|margin|pledge""),""Platform / Groww Feature Tutorial"",
REGEXMATCH(LOWER(A48),""candlestick|chart|price action|trendline|rsi|indicator""),""Technical Analysis / Chart Patterns"",
REGEXMATCH(LOWER(A48),""beginner|guide|start trading""),""Beginner Tr"&amp;"ading Education"",
REGEXMATCH(LOWER(A48),""interview|journey|talks|wisdom""),""Expert Interview / Trading Insights"",
REGEXMATCH(LOWER(A48),""risk|loss|drawdown|psychology""),""Trading Psychology / Risk Management"",
REGEXMATCH(LOWER(A48),""commodity|crud"&amp;"e|gold|natural gas""),""Commodity Trading Education"",
TRUE,""General Trading Education""
)
"),"Options Strategy Education")</f>
        <v>Options Strategy Education</v>
      </c>
    </row>
    <row r="49" ht="15.75" customHeight="1">
      <c r="A49" s="1" t="s">
        <v>249</v>
      </c>
      <c r="B49" s="3" t="s">
        <v>250</v>
      </c>
      <c r="C49" s="1" t="s">
        <v>251</v>
      </c>
      <c r="D49" s="1" t="s">
        <v>252</v>
      </c>
      <c r="E49" s="4">
        <v>45864.0</v>
      </c>
      <c r="F49" s="10">
        <v>1.363888888888889</v>
      </c>
      <c r="G49" s="1">
        <v>5714.0</v>
      </c>
      <c r="H49" s="1">
        <v>263.0</v>
      </c>
      <c r="I49" s="1">
        <v>22.0</v>
      </c>
      <c r="J49" s="3" t="s">
        <v>253</v>
      </c>
      <c r="K49" s="6">
        <f t="shared" si="1"/>
        <v>4.987749387</v>
      </c>
      <c r="L49" s="7">
        <f t="shared" si="2"/>
        <v>1964</v>
      </c>
      <c r="M49" s="8">
        <f t="shared" si="3"/>
        <v>45859</v>
      </c>
      <c r="N49" s="9" t="str">
        <f>IFERROR(__xludf.DUMMYFUNCTION("IFS(
REGEXMATCH(LOWER(A49),""option|options""),""Options Strategy Education"",
REGEXMATCH(LOWER(A49),""bank nifty|nifty|index""),""Index Options"",
REGEXMATCH(LOWER(A49),""algo|api|systematic""),""Algo Trading / API Tutorial"",
REGEXMATCH(LOWER(A49),""gro"&amp;"ww|mtf|margin|pledge""),""Platform / Groww Feature Tutorial"",
REGEXMATCH(LOWER(A49),""candlestick|chart|price action|trendline|rsi|indicator""),""Technical Analysis / Chart Patterns"",
REGEXMATCH(LOWER(A49),""beginner|guide|start trading""),""Beginner Tr"&amp;"ading Education"",
REGEXMATCH(LOWER(A49),""interview|journey|talks|wisdom""),""Expert Interview / Trading Insights"",
REGEXMATCH(LOWER(A49),""risk|loss|drawdown|psychology""),""Trading Psychology / Risk Management"",
REGEXMATCH(LOWER(A49),""commodity|crud"&amp;"e|gold|natural gas""),""Commodity Trading Education"",
TRUE,""General Trading Education""
)
"),"Beginner Trading Education")</f>
        <v>Beginner Trading Education</v>
      </c>
    </row>
    <row r="50" ht="15.75" customHeight="1">
      <c r="A50" s="1" t="s">
        <v>254</v>
      </c>
      <c r="B50" s="3" t="s">
        <v>255</v>
      </c>
      <c r="C50" s="1" t="s">
        <v>256</v>
      </c>
      <c r="D50" s="1" t="s">
        <v>257</v>
      </c>
      <c r="E50" s="4">
        <v>45862.0</v>
      </c>
      <c r="F50" s="12">
        <v>0.048796296296296296</v>
      </c>
      <c r="G50" s="1">
        <v>7109.0</v>
      </c>
      <c r="H50" s="1">
        <v>169.0</v>
      </c>
      <c r="I50" s="1">
        <v>22.0</v>
      </c>
      <c r="J50" s="3" t="s">
        <v>258</v>
      </c>
      <c r="K50" s="6">
        <f t="shared" si="1"/>
        <v>2.686735124</v>
      </c>
      <c r="L50" s="7">
        <f t="shared" si="2"/>
        <v>70.26666667</v>
      </c>
      <c r="M50" s="8">
        <f t="shared" si="3"/>
        <v>45859</v>
      </c>
      <c r="N50" s="9" t="str">
        <f>IFERROR(__xludf.DUMMYFUNCTION("IFS(
REGEXMATCH(LOWER(A50),""option|options""),""Options Strategy Education"",
REGEXMATCH(LOWER(A50),""bank nifty|nifty|index""),""Index Options"",
REGEXMATCH(LOWER(A50),""algo|api|systematic""),""Algo Trading / API Tutorial"",
REGEXMATCH(LOWER(A50),""gro"&amp;"ww|mtf|margin|pledge""),""Platform / Groww Feature Tutorial"",
REGEXMATCH(LOWER(A50),""candlestick|chart|price action|trendline|rsi|indicator""),""Technical Analysis / Chart Patterns"",
REGEXMATCH(LOWER(A50),""beginner|guide|start trading""),""Beginner Tr"&amp;"ading Education"",
REGEXMATCH(LOWER(A50),""interview|journey|talks|wisdom""),""Expert Interview / Trading Insights"",
REGEXMATCH(LOWER(A50),""risk|loss|drawdown|psychology""),""Trading Psychology / Risk Management"",
REGEXMATCH(LOWER(A50),""commodity|crud"&amp;"e|gold|natural gas""),""Commodity Trading Education"",
TRUE,""General Trading Education""
)
"),"Expert Interview / Trading Insights")</f>
        <v>Expert Interview / Trading Insights</v>
      </c>
    </row>
    <row r="51" ht="15.75" customHeight="1">
      <c r="A51" s="1" t="s">
        <v>259</v>
      </c>
      <c r="B51" s="3" t="s">
        <v>260</v>
      </c>
      <c r="C51" s="1" t="s">
        <v>261</v>
      </c>
      <c r="D51" s="1" t="s">
        <v>262</v>
      </c>
      <c r="E51" s="4">
        <v>45854.0</v>
      </c>
      <c r="F51" s="5">
        <v>0.8305555555555556</v>
      </c>
      <c r="G51" s="1">
        <v>2827.0</v>
      </c>
      <c r="H51" s="1">
        <v>53.0</v>
      </c>
      <c r="I51" s="1">
        <v>9.0</v>
      </c>
      <c r="J51" s="3" t="s">
        <v>263</v>
      </c>
      <c r="K51" s="6">
        <f t="shared" si="1"/>
        <v>2.193137602</v>
      </c>
      <c r="L51" s="7">
        <f t="shared" si="2"/>
        <v>1196</v>
      </c>
      <c r="M51" s="8">
        <f t="shared" si="3"/>
        <v>45852</v>
      </c>
      <c r="N51" s="9" t="str">
        <f>IFERROR(__xludf.DUMMYFUNCTION("IFS(
REGEXMATCH(LOWER(A51),""option|options""),""Options Strategy Education"",
REGEXMATCH(LOWER(A51),""bank nifty|nifty|index""),""Index Options"",
REGEXMATCH(LOWER(A51),""algo|api|systematic""),""Algo Trading / API Tutorial"",
REGEXMATCH(LOWER(A51),""gro"&amp;"ww|mtf|margin|pledge""),""Platform / Groww Feature Tutorial"",
REGEXMATCH(LOWER(A51),""candlestick|chart|price action|trendline|rsi|indicator""),""Technical Analysis / Chart Patterns"",
REGEXMATCH(LOWER(A51),""beginner|guide|start trading""),""Beginner Tr"&amp;"ading Education"",
REGEXMATCH(LOWER(A51),""interview|journey|talks|wisdom""),""Expert Interview / Trading Insights"",
REGEXMATCH(LOWER(A51),""risk|loss|drawdown|psychology""),""Trading Psychology / Risk Management"",
REGEXMATCH(LOWER(A51),""commodity|crud"&amp;"e|gold|natural gas""),""Commodity Trading Education"",
TRUE,""General Trading Education""
)
"),"Algo Trading / API Tutorial")</f>
        <v>Algo Trading / API Tutorial</v>
      </c>
    </row>
    <row r="52" ht="15.75" customHeight="1">
      <c r="A52" s="1" t="s">
        <v>264</v>
      </c>
      <c r="B52" s="3" t="s">
        <v>265</v>
      </c>
      <c r="C52" s="1" t="s">
        <v>266</v>
      </c>
      <c r="D52" s="1" t="s">
        <v>267</v>
      </c>
      <c r="E52" s="4">
        <v>45851.0</v>
      </c>
      <c r="F52" s="5">
        <v>0.8965277777777778</v>
      </c>
      <c r="G52" s="1">
        <v>1517.0</v>
      </c>
      <c r="H52" s="1">
        <v>36.0</v>
      </c>
      <c r="I52" s="1">
        <v>3.0</v>
      </c>
      <c r="J52" s="3" t="s">
        <v>268</v>
      </c>
      <c r="K52" s="6">
        <f t="shared" si="1"/>
        <v>2.570863546</v>
      </c>
      <c r="L52" s="7">
        <f t="shared" si="2"/>
        <v>1291</v>
      </c>
      <c r="M52" s="8">
        <f t="shared" si="3"/>
        <v>45845</v>
      </c>
      <c r="N52" s="9" t="str">
        <f>IFERROR(__xludf.DUMMYFUNCTION("IFS(
REGEXMATCH(LOWER(A52),""option|options""),""Options Strategy Education"",
REGEXMATCH(LOWER(A52),""bank nifty|nifty|index""),""Index Options"",
REGEXMATCH(LOWER(A52),""algo|api|systematic""),""Algo Trading / API Tutorial"",
REGEXMATCH(LOWER(A52),""gro"&amp;"ww|mtf|margin|pledge""),""Platform / Groww Feature Tutorial"",
REGEXMATCH(LOWER(A52),""candlestick|chart|price action|trendline|rsi|indicator""),""Technical Analysis / Chart Patterns"",
REGEXMATCH(LOWER(A52),""beginner|guide|start trading""),""Beginner Tr"&amp;"ading Education"",
REGEXMATCH(LOWER(A52),""interview|journey|talks|wisdom""),""Expert Interview / Trading Insights"",
REGEXMATCH(LOWER(A52),""risk|loss|drawdown|psychology""),""Trading Psychology / Risk Management"",
REGEXMATCH(LOWER(A52),""commodity|crud"&amp;"e|gold|natural gas""),""Commodity Trading Education"",
TRUE,""General Trading Education""
)
"),"Algo Trading / API Tutorial")</f>
        <v>Algo Trading / API Tutorial</v>
      </c>
    </row>
    <row r="53" ht="15.75" customHeight="1">
      <c r="A53" s="1" t="s">
        <v>269</v>
      </c>
      <c r="B53" s="3" t="s">
        <v>270</v>
      </c>
      <c r="C53" s="1" t="s">
        <v>271</v>
      </c>
      <c r="D53" s="1" t="s">
        <v>272</v>
      </c>
      <c r="E53" s="4">
        <v>45847.0</v>
      </c>
      <c r="F53" s="5">
        <v>0.25625</v>
      </c>
      <c r="G53" s="1">
        <v>1811.0</v>
      </c>
      <c r="H53" s="1">
        <v>72.0</v>
      </c>
      <c r="I53" s="1">
        <v>0.0</v>
      </c>
      <c r="J53" s="3" t="s">
        <v>273</v>
      </c>
      <c r="K53" s="6">
        <f t="shared" si="1"/>
        <v>3.975704031</v>
      </c>
      <c r="L53" s="7">
        <f t="shared" si="2"/>
        <v>369</v>
      </c>
      <c r="M53" s="8">
        <f t="shared" si="3"/>
        <v>45845</v>
      </c>
      <c r="N53" s="9" t="str">
        <f>IFERROR(__xludf.DUMMYFUNCTION("IFS(
REGEXMATCH(LOWER(A53),""option|options""),""Options Strategy Education"",
REGEXMATCH(LOWER(A53),""bank nifty|nifty|index""),""Index Options"",
REGEXMATCH(LOWER(A53),""algo|api|systematic""),""Algo Trading / API Tutorial"",
REGEXMATCH(LOWER(A53),""gro"&amp;"ww|mtf|margin|pledge""),""Platform / Groww Feature Tutorial"",
REGEXMATCH(LOWER(A53),""candlestick|chart|price action|trendline|rsi|indicator""),""Technical Analysis / Chart Patterns"",
REGEXMATCH(LOWER(A53),""beginner|guide|start trading""),""Beginner Tr"&amp;"ading Education"",
REGEXMATCH(LOWER(A53),""interview|journey|talks|wisdom""),""Expert Interview / Trading Insights"",
REGEXMATCH(LOWER(A53),""risk|loss|drawdown|psychology""),""Trading Psychology / Risk Management"",
REGEXMATCH(LOWER(A53),""commodity|crud"&amp;"e|gold|natural gas""),""Commodity Trading Education"",
TRUE,""General Trading Education""
)
"),"General Trading Education")</f>
        <v>General Trading Education</v>
      </c>
    </row>
    <row r="54" ht="15.75" customHeight="1">
      <c r="A54" s="1" t="s">
        <v>274</v>
      </c>
      <c r="B54" s="3" t="s">
        <v>275</v>
      </c>
      <c r="C54" s="1" t="s">
        <v>276</v>
      </c>
      <c r="D54" s="1" t="s">
        <v>277</v>
      </c>
      <c r="E54" s="4">
        <v>45846.0</v>
      </c>
      <c r="F54" s="5">
        <v>0.44305555555555554</v>
      </c>
      <c r="G54" s="1">
        <v>4446.0</v>
      </c>
      <c r="H54" s="1">
        <v>205.0</v>
      </c>
      <c r="I54" s="1">
        <v>37.0</v>
      </c>
      <c r="J54" s="3" t="s">
        <v>278</v>
      </c>
      <c r="K54" s="6">
        <f t="shared" si="1"/>
        <v>5.443094917</v>
      </c>
      <c r="L54" s="7">
        <f t="shared" si="2"/>
        <v>638</v>
      </c>
      <c r="M54" s="8">
        <f t="shared" si="3"/>
        <v>45845</v>
      </c>
      <c r="N54" s="9" t="str">
        <f>IFERROR(__xludf.DUMMYFUNCTION("IFS(
REGEXMATCH(LOWER(A54),""option|options""),""Options Strategy Education"",
REGEXMATCH(LOWER(A54),""bank nifty|nifty|index""),""Index Options"",
REGEXMATCH(LOWER(A54),""algo|api|systematic""),""Algo Trading / API Tutorial"",
REGEXMATCH(LOWER(A54),""gro"&amp;"ww|mtf|margin|pledge""),""Platform / Groww Feature Tutorial"",
REGEXMATCH(LOWER(A54),""candlestick|chart|price action|trendline|rsi|indicator""),""Technical Analysis / Chart Patterns"",
REGEXMATCH(LOWER(A54),""beginner|guide|start trading""),""Beginner Tr"&amp;"ading Education"",
REGEXMATCH(LOWER(A54),""interview|journey|talks|wisdom""),""Expert Interview / Trading Insights"",
REGEXMATCH(LOWER(A54),""risk|loss|drawdown|psychology""),""Trading Psychology / Risk Management"",
REGEXMATCH(LOWER(A54),""commodity|crud"&amp;"e|gold|natural gas""),""Commodity Trading Education"",
TRUE,""General Trading Education""
)
"),"General Trading Education")</f>
        <v>General Trading Education</v>
      </c>
    </row>
    <row r="55" ht="15.75" customHeight="1">
      <c r="A55" s="1" t="s">
        <v>279</v>
      </c>
      <c r="B55" s="3" t="s">
        <v>280</v>
      </c>
      <c r="C55" s="1" t="s">
        <v>281</v>
      </c>
      <c r="D55" s="1" t="s">
        <v>282</v>
      </c>
      <c r="E55" s="4">
        <v>45839.0</v>
      </c>
      <c r="F55" s="5">
        <v>0.5409722222222222</v>
      </c>
      <c r="G55" s="1">
        <v>2020.0</v>
      </c>
      <c r="H55" s="1">
        <v>38.0</v>
      </c>
      <c r="I55" s="1">
        <v>7.0</v>
      </c>
      <c r="J55" s="3" t="s">
        <v>283</v>
      </c>
      <c r="K55" s="6">
        <f t="shared" si="1"/>
        <v>2.227722772</v>
      </c>
      <c r="L55" s="7">
        <f t="shared" si="2"/>
        <v>779</v>
      </c>
      <c r="M55" s="8">
        <f t="shared" si="3"/>
        <v>45838</v>
      </c>
      <c r="N55" s="9" t="str">
        <f>IFERROR(__xludf.DUMMYFUNCTION("IFS(
REGEXMATCH(LOWER(A55),""option|options""),""Options Strategy Education"",
REGEXMATCH(LOWER(A55),""bank nifty|nifty|index""),""Index Options"",
REGEXMATCH(LOWER(A55),""algo|api|systematic""),""Algo Trading / API Tutorial"",
REGEXMATCH(LOWER(A55),""gro"&amp;"ww|mtf|margin|pledge""),""Platform / Groww Feature Tutorial"",
REGEXMATCH(LOWER(A55),""candlestick|chart|price action|trendline|rsi|indicator""),""Technical Analysis / Chart Patterns"",
REGEXMATCH(LOWER(A55),""beginner|guide|start trading""),""Beginner Tr"&amp;"ading Education"",
REGEXMATCH(LOWER(A55),""interview|journey|talks|wisdom""),""Expert Interview / Trading Insights"",
REGEXMATCH(LOWER(A55),""risk|loss|drawdown|psychology""),""Trading Psychology / Risk Management"",
REGEXMATCH(LOWER(A55),""commodity|crud"&amp;"e|gold|natural gas""),""Commodity Trading Education"",
TRUE,""General Trading Education""
)
"),"Algo Trading / API Tutorial")</f>
        <v>Algo Trading / API Tutorial</v>
      </c>
    </row>
    <row r="56" ht="15.75" customHeight="1">
      <c r="A56" s="1" t="s">
        <v>284</v>
      </c>
      <c r="B56" s="3" t="s">
        <v>285</v>
      </c>
      <c r="C56" s="1" t="s">
        <v>286</v>
      </c>
      <c r="D56" s="1" t="s">
        <v>287</v>
      </c>
      <c r="E56" s="4">
        <v>45834.0</v>
      </c>
      <c r="F56" s="5">
        <v>0.3236111111111111</v>
      </c>
      <c r="G56" s="1">
        <v>6054.0</v>
      </c>
      <c r="H56" s="1">
        <v>272.0</v>
      </c>
      <c r="I56" s="1">
        <v>16.0</v>
      </c>
      <c r="J56" s="3" t="s">
        <v>288</v>
      </c>
      <c r="K56" s="6">
        <f t="shared" si="1"/>
        <v>4.757185332</v>
      </c>
      <c r="L56" s="7">
        <f t="shared" si="2"/>
        <v>466</v>
      </c>
      <c r="M56" s="8">
        <f t="shared" si="3"/>
        <v>45831</v>
      </c>
      <c r="N56" s="9" t="str">
        <f>IFERROR(__xludf.DUMMYFUNCTION("IFS(
REGEXMATCH(LOWER(A56),""option|options""),""Options Strategy Education"",
REGEXMATCH(LOWER(A56),""bank nifty|nifty|index""),""Index Options"",
REGEXMATCH(LOWER(A56),""algo|api|systematic""),""Algo Trading / API Tutorial"",
REGEXMATCH(LOWER(A56),""gro"&amp;"ww|mtf|margin|pledge""),""Platform / Groww Feature Tutorial"",
REGEXMATCH(LOWER(A56),""candlestick|chart|price action|trendline|rsi|indicator""),""Technical Analysis / Chart Patterns"",
REGEXMATCH(LOWER(A56),""beginner|guide|start trading""),""Beginner Tr"&amp;"ading Education"",
REGEXMATCH(LOWER(A56),""interview|journey|talks|wisdom""),""Expert Interview / Trading Insights"",
REGEXMATCH(LOWER(A56),""risk|loss|drawdown|psychology""),""Trading Psychology / Risk Management"",
REGEXMATCH(LOWER(A56),""commodity|crud"&amp;"e|gold|natural gas""),""Commodity Trading Education"",
TRUE,""General Trading Education""
)
"),"Platform / Groww Feature Tutorial")</f>
        <v>Platform / Groww Feature Tutorial</v>
      </c>
    </row>
    <row r="57" ht="15.75" customHeight="1">
      <c r="A57" s="1" t="s">
        <v>289</v>
      </c>
      <c r="B57" s="3" t="s">
        <v>290</v>
      </c>
      <c r="C57" s="1" t="s">
        <v>291</v>
      </c>
      <c r="D57" s="1" t="s">
        <v>292</v>
      </c>
      <c r="E57" s="4">
        <v>45833.0</v>
      </c>
      <c r="F57" s="5">
        <v>0.24722222222222223</v>
      </c>
      <c r="G57" s="1">
        <v>5277.0</v>
      </c>
      <c r="H57" s="1">
        <v>204.0</v>
      </c>
      <c r="I57" s="1">
        <v>27.0</v>
      </c>
      <c r="J57" s="3" t="s">
        <v>293</v>
      </c>
      <c r="K57" s="6">
        <f t="shared" si="1"/>
        <v>4.377487209</v>
      </c>
      <c r="L57" s="7">
        <f t="shared" si="2"/>
        <v>356</v>
      </c>
      <c r="M57" s="8">
        <f t="shared" si="3"/>
        <v>45831</v>
      </c>
      <c r="N57" s="9" t="str">
        <f>IFERROR(__xludf.DUMMYFUNCTION("IFS(
REGEXMATCH(LOWER(A57),""option|options""),""Options Strategy Education"",
REGEXMATCH(LOWER(A57),""bank nifty|nifty|index""),""Index Options"",
REGEXMATCH(LOWER(A57),""algo|api|systematic""),""Algo Trading / API Tutorial"",
REGEXMATCH(LOWER(A57),""gro"&amp;"ww|mtf|margin|pledge""),""Platform / Groww Feature Tutorial"",
REGEXMATCH(LOWER(A57),""candlestick|chart|price action|trendline|rsi|indicator""),""Technical Analysis / Chart Patterns"",
REGEXMATCH(LOWER(A57),""beginner|guide|start trading""),""Beginner Tr"&amp;"ading Education"",
REGEXMATCH(LOWER(A57),""interview|journey|talks|wisdom""),""Expert Interview / Trading Insights"",
REGEXMATCH(LOWER(A57),""risk|loss|drawdown|psychology""),""Trading Psychology / Risk Management"",
REGEXMATCH(LOWER(A57),""commodity|crud"&amp;"e|gold|natural gas""),""Commodity Trading Education"",
TRUE,""General Trading Education""
)
"),"Beginner Trading Education")</f>
        <v>Beginner Trading Education</v>
      </c>
    </row>
    <row r="58" ht="15.75" customHeight="1">
      <c r="A58" s="1" t="s">
        <v>294</v>
      </c>
      <c r="B58" s="3" t="s">
        <v>295</v>
      </c>
      <c r="C58" s="1" t="s">
        <v>296</v>
      </c>
      <c r="D58" s="1" t="s">
        <v>297</v>
      </c>
      <c r="E58" s="4">
        <v>45831.0</v>
      </c>
      <c r="F58" s="5">
        <v>0.2423611111111111</v>
      </c>
      <c r="G58" s="1">
        <v>4857.0</v>
      </c>
      <c r="H58" s="1">
        <v>161.0</v>
      </c>
      <c r="I58" s="1">
        <v>15.0</v>
      </c>
      <c r="J58" s="3" t="s">
        <v>298</v>
      </c>
      <c r="K58" s="6">
        <f t="shared" si="1"/>
        <v>3.623635989</v>
      </c>
      <c r="L58" s="7">
        <f t="shared" si="2"/>
        <v>349</v>
      </c>
      <c r="M58" s="8">
        <f t="shared" si="3"/>
        <v>45831</v>
      </c>
      <c r="N58" s="9" t="str">
        <f>IFERROR(__xludf.DUMMYFUNCTION("IFS(
REGEXMATCH(LOWER(A58),""option|options""),""Options Strategy Education"",
REGEXMATCH(LOWER(A58),""bank nifty|nifty|index""),""Index Options"",
REGEXMATCH(LOWER(A58),""algo|api|systematic""),""Algo Trading / API Tutorial"",
REGEXMATCH(LOWER(A58),""gro"&amp;"ww|mtf|margin|pledge""),""Platform / Groww Feature Tutorial"",
REGEXMATCH(LOWER(A58),""candlestick|chart|price action|trendline|rsi|indicator""),""Technical Analysis / Chart Patterns"",
REGEXMATCH(LOWER(A58),""beginner|guide|start trading""),""Beginner Tr"&amp;"ading Education"",
REGEXMATCH(LOWER(A58),""interview|journey|talks|wisdom""),""Expert Interview / Trading Insights"",
REGEXMATCH(LOWER(A58),""risk|loss|drawdown|psychology""),""Trading Psychology / Risk Management"",
REGEXMATCH(LOWER(A58),""commodity|crud"&amp;"e|gold|natural gas""),""Commodity Trading Education"",
TRUE,""General Trading Education""
)
"),"Platform / Groww Feature Tutorial")</f>
        <v>Platform / Groww Feature Tutorial</v>
      </c>
    </row>
    <row r="59" ht="15.75" customHeight="1">
      <c r="A59" s="1" t="s">
        <v>299</v>
      </c>
      <c r="B59" s="3" t="s">
        <v>300</v>
      </c>
      <c r="C59" s="1" t="s">
        <v>301</v>
      </c>
      <c r="D59" s="1" t="s">
        <v>302</v>
      </c>
      <c r="E59" s="4">
        <v>45829.0</v>
      </c>
      <c r="F59" s="5">
        <v>0.2152777777777778</v>
      </c>
      <c r="G59" s="1">
        <v>4608.0</v>
      </c>
      <c r="H59" s="1">
        <v>188.0</v>
      </c>
      <c r="I59" s="1">
        <v>18.0</v>
      </c>
      <c r="J59" s="3" t="s">
        <v>303</v>
      </c>
      <c r="K59" s="6">
        <f t="shared" si="1"/>
        <v>4.470486111</v>
      </c>
      <c r="L59" s="7">
        <f t="shared" si="2"/>
        <v>310</v>
      </c>
      <c r="M59" s="8">
        <f t="shared" si="3"/>
        <v>45824</v>
      </c>
      <c r="N59" s="9" t="str">
        <f>IFERROR(__xludf.DUMMYFUNCTION("IFS(
REGEXMATCH(LOWER(A59),""option|options""),""Options Strategy Education"",
REGEXMATCH(LOWER(A59),""bank nifty|nifty|index""),""Index Options"",
REGEXMATCH(LOWER(A59),""algo|api|systematic""),""Algo Trading / API Tutorial"",
REGEXMATCH(LOWER(A59),""gro"&amp;"ww|mtf|margin|pledge""),""Platform / Groww Feature Tutorial"",
REGEXMATCH(LOWER(A59),""candlestick|chart|price action|trendline|rsi|indicator""),""Technical Analysis / Chart Patterns"",
REGEXMATCH(LOWER(A59),""beginner|guide|start trading""),""Beginner Tr"&amp;"ading Education"",
REGEXMATCH(LOWER(A59),""interview|journey|talks|wisdom""),""Expert Interview / Trading Insights"",
REGEXMATCH(LOWER(A59),""risk|loss|drawdown|psychology""),""Trading Psychology / Risk Management"",
REGEXMATCH(LOWER(A59),""commodity|crud"&amp;"e|gold|natural gas""),""Commodity Trading Education"",
TRUE,""General Trading Education""
)
"),"Options Strategy Education")</f>
        <v>Options Strategy Education</v>
      </c>
    </row>
    <row r="60" ht="15.75" customHeight="1">
      <c r="A60" s="1" t="s">
        <v>304</v>
      </c>
      <c r="B60" s="3" t="s">
        <v>305</v>
      </c>
      <c r="C60" s="1" t="s">
        <v>306</v>
      </c>
      <c r="D60" s="1" t="s">
        <v>307</v>
      </c>
      <c r="E60" s="4">
        <v>45827.0</v>
      </c>
      <c r="F60" s="5">
        <v>0.8243055555555555</v>
      </c>
      <c r="G60" s="1">
        <v>3032.0</v>
      </c>
      <c r="H60" s="1">
        <v>70.0</v>
      </c>
      <c r="I60" s="1">
        <v>17.0</v>
      </c>
      <c r="J60" s="3" t="s">
        <v>308</v>
      </c>
      <c r="K60" s="6">
        <f t="shared" si="1"/>
        <v>2.86939314</v>
      </c>
      <c r="L60" s="7">
        <f t="shared" si="2"/>
        <v>1187</v>
      </c>
      <c r="M60" s="8">
        <f t="shared" si="3"/>
        <v>45824</v>
      </c>
      <c r="N60" s="9" t="str">
        <f>IFERROR(__xludf.DUMMYFUNCTION("IFS(
REGEXMATCH(LOWER(A60),""option|options""),""Options Strategy Education"",
REGEXMATCH(LOWER(A60),""bank nifty|nifty|index""),""Index Options"",
REGEXMATCH(LOWER(A60),""algo|api|systematic""),""Algo Trading / API Tutorial"",
REGEXMATCH(LOWER(A60),""gro"&amp;"ww|mtf|margin|pledge""),""Platform / Groww Feature Tutorial"",
REGEXMATCH(LOWER(A60),""candlestick|chart|price action|trendline|rsi|indicator""),""Technical Analysis / Chart Patterns"",
REGEXMATCH(LOWER(A60),""beginner|guide|start trading""),""Beginner Tr"&amp;"ading Education"",
REGEXMATCH(LOWER(A60),""interview|journey|talks|wisdom""),""Expert Interview / Trading Insights"",
REGEXMATCH(LOWER(A60),""risk|loss|drawdown|psychology""),""Trading Psychology / Risk Management"",
REGEXMATCH(LOWER(A60),""commodity|crud"&amp;"e|gold|natural gas""),""Commodity Trading Education"",
TRUE,""General Trading Education""
)
"),"Algo Trading / API Tutorial")</f>
        <v>Algo Trading / API Tutorial</v>
      </c>
    </row>
    <row r="61" ht="15.75" customHeight="1">
      <c r="A61" s="1" t="s">
        <v>309</v>
      </c>
      <c r="B61" s="3" t="s">
        <v>310</v>
      </c>
      <c r="C61" s="1" t="s">
        <v>311</v>
      </c>
      <c r="D61" s="1" t="s">
        <v>312</v>
      </c>
      <c r="E61" s="4">
        <v>45825.0</v>
      </c>
      <c r="F61" s="5">
        <v>0.40555555555555556</v>
      </c>
      <c r="G61" s="1">
        <v>13511.0</v>
      </c>
      <c r="H61" s="1">
        <v>488.0</v>
      </c>
      <c r="I61" s="1">
        <v>26.0</v>
      </c>
      <c r="J61" s="3" t="s">
        <v>313</v>
      </c>
      <c r="K61" s="6">
        <f t="shared" si="1"/>
        <v>3.804307601</v>
      </c>
      <c r="L61" s="7">
        <f t="shared" si="2"/>
        <v>584</v>
      </c>
      <c r="M61" s="8">
        <f t="shared" si="3"/>
        <v>45824</v>
      </c>
      <c r="N61" s="9" t="str">
        <f>IFERROR(__xludf.DUMMYFUNCTION("IFS(
REGEXMATCH(LOWER(A61),""option|options""),""Options Strategy Education"",
REGEXMATCH(LOWER(A61),""bank nifty|nifty|index""),""Index Options"",
REGEXMATCH(LOWER(A61),""algo|api|systematic""),""Algo Trading / API Tutorial"",
REGEXMATCH(LOWER(A61),""gro"&amp;"ww|mtf|margin|pledge""),""Platform / Groww Feature Tutorial"",
REGEXMATCH(LOWER(A61),""candlestick|chart|price action|trendline|rsi|indicator""),""Technical Analysis / Chart Patterns"",
REGEXMATCH(LOWER(A61),""beginner|guide|start trading""),""Beginner Tr"&amp;"ading Education"",
REGEXMATCH(LOWER(A61),""interview|journey|talks|wisdom""),""Expert Interview / Trading Insights"",
REGEXMATCH(LOWER(A61),""risk|loss|drawdown|psychology""),""Trading Psychology / Risk Management"",
REGEXMATCH(LOWER(A61),""commodity|crud"&amp;"e|gold|natural gas""),""Commodity Trading Education"",
TRUE,""General Trading Education""
)
"),"General Trading Education")</f>
        <v>General Trading Education</v>
      </c>
    </row>
    <row r="62" ht="15.75" customHeight="1">
      <c r="A62" s="1" t="s">
        <v>314</v>
      </c>
      <c r="B62" s="3" t="s">
        <v>315</v>
      </c>
      <c r="C62" s="1" t="s">
        <v>316</v>
      </c>
      <c r="D62" s="1" t="s">
        <v>317</v>
      </c>
      <c r="E62" s="4">
        <v>45824.0</v>
      </c>
      <c r="F62" s="5">
        <v>0.5180555555555556</v>
      </c>
      <c r="G62" s="1">
        <v>14334.0</v>
      </c>
      <c r="H62" s="1">
        <v>560.0</v>
      </c>
      <c r="I62" s="1">
        <v>26.0</v>
      </c>
      <c r="J62" s="3" t="s">
        <v>318</v>
      </c>
      <c r="K62" s="6">
        <f t="shared" si="1"/>
        <v>4.088181945</v>
      </c>
      <c r="L62" s="7">
        <f t="shared" si="2"/>
        <v>746</v>
      </c>
      <c r="M62" s="8">
        <f t="shared" si="3"/>
        <v>45824</v>
      </c>
      <c r="N62" s="9" t="str">
        <f>IFERROR(__xludf.DUMMYFUNCTION("IFS(
REGEXMATCH(LOWER(A62),""option|options""),""Options Strategy Education"",
REGEXMATCH(LOWER(A62),""bank nifty|nifty|index""),""Index Options"",
REGEXMATCH(LOWER(A62),""algo|api|systematic""),""Algo Trading / API Tutorial"",
REGEXMATCH(LOWER(A62),""gro"&amp;"ww|mtf|margin|pledge""),""Platform / Groww Feature Tutorial"",
REGEXMATCH(LOWER(A62),""candlestick|chart|price action|trendline|rsi|indicator""),""Technical Analysis / Chart Patterns"",
REGEXMATCH(LOWER(A62),""beginner|guide|start trading""),""Beginner Tr"&amp;"ading Education"",
REGEXMATCH(LOWER(A62),""interview|journey|talks|wisdom""),""Expert Interview / Trading Insights"",
REGEXMATCH(LOWER(A62),""risk|loss|drawdown|psychology""),""Trading Psychology / Risk Management"",
REGEXMATCH(LOWER(A62),""commodity|crud"&amp;"e|gold|natural gas""),""Commodity Trading Education"",
TRUE,""General Trading Education""
)
"),"General Trading Education")</f>
        <v>General Trading Education</v>
      </c>
    </row>
    <row r="63" ht="15.75" customHeight="1">
      <c r="A63" s="1" t="s">
        <v>319</v>
      </c>
      <c r="B63" s="3" t="s">
        <v>320</v>
      </c>
      <c r="C63" s="1" t="s">
        <v>321</v>
      </c>
      <c r="D63" s="1" t="s">
        <v>322</v>
      </c>
      <c r="E63" s="4">
        <v>45823.0</v>
      </c>
      <c r="F63" s="10">
        <v>1.4208333333333334</v>
      </c>
      <c r="G63" s="1">
        <v>8848.0</v>
      </c>
      <c r="H63" s="1">
        <v>293.0</v>
      </c>
      <c r="I63" s="1">
        <v>32.0</v>
      </c>
      <c r="J63" s="3" t="s">
        <v>323</v>
      </c>
      <c r="K63" s="6">
        <f t="shared" si="1"/>
        <v>3.673146474</v>
      </c>
      <c r="L63" s="7">
        <f t="shared" si="2"/>
        <v>2046</v>
      </c>
      <c r="M63" s="8">
        <f t="shared" si="3"/>
        <v>45817</v>
      </c>
      <c r="N63" s="9" t="str">
        <f>IFERROR(__xludf.DUMMYFUNCTION("IFS(
REGEXMATCH(LOWER(A63),""option|options""),""Options Strategy Education"",
REGEXMATCH(LOWER(A63),""bank nifty|nifty|index""),""Index Options"",
REGEXMATCH(LOWER(A63),""algo|api|systematic""),""Algo Trading / API Tutorial"",
REGEXMATCH(LOWER(A63),""gro"&amp;"ww|mtf|margin|pledge""),""Platform / Groww Feature Tutorial"",
REGEXMATCH(LOWER(A63),""candlestick|chart|price action|trendline|rsi|indicator""),""Technical Analysis / Chart Patterns"",
REGEXMATCH(LOWER(A63),""beginner|guide|start trading""),""Beginner Tr"&amp;"ading Education"",
REGEXMATCH(LOWER(A63),""interview|journey|talks|wisdom""),""Expert Interview / Trading Insights"",
REGEXMATCH(LOWER(A63),""risk|loss|drawdown|psychology""),""Trading Psychology / Risk Management"",
REGEXMATCH(LOWER(A63),""commodity|crud"&amp;"e|gold|natural gas""),""Commodity Trading Education"",
TRUE,""General Trading Education""
)
"),"General Trading Education")</f>
        <v>General Trading Education</v>
      </c>
    </row>
    <row r="64" ht="15.75" customHeight="1">
      <c r="A64" s="1" t="s">
        <v>324</v>
      </c>
      <c r="B64" s="3" t="s">
        <v>325</v>
      </c>
      <c r="C64" s="1" t="s">
        <v>326</v>
      </c>
      <c r="D64" s="1" t="s">
        <v>327</v>
      </c>
      <c r="E64" s="4">
        <v>45822.0</v>
      </c>
      <c r="F64" s="10">
        <v>2.027083333333333</v>
      </c>
      <c r="G64" s="1">
        <v>37986.0</v>
      </c>
      <c r="H64" s="1">
        <v>684.0</v>
      </c>
      <c r="I64" s="1">
        <v>49.0</v>
      </c>
      <c r="J64" s="3" t="s">
        <v>328</v>
      </c>
      <c r="K64" s="6">
        <f t="shared" si="1"/>
        <v>1.929658295</v>
      </c>
      <c r="L64" s="7">
        <f t="shared" si="2"/>
        <v>2919</v>
      </c>
      <c r="M64" s="8">
        <f t="shared" si="3"/>
        <v>45817</v>
      </c>
      <c r="N64" s="9" t="str">
        <f>IFERROR(__xludf.DUMMYFUNCTION("IFS(
REGEXMATCH(LOWER(A64),""option|options""),""Options Strategy Education"",
REGEXMATCH(LOWER(A64),""bank nifty|nifty|index""),""Index Options"",
REGEXMATCH(LOWER(A64),""algo|api|systematic""),""Algo Trading / API Tutorial"",
REGEXMATCH(LOWER(A64),""gro"&amp;"ww|mtf|margin|pledge""),""Platform / Groww Feature Tutorial"",
REGEXMATCH(LOWER(A64),""candlestick|chart|price action|trendline|rsi|indicator""),""Technical Analysis / Chart Patterns"",
REGEXMATCH(LOWER(A64),""beginner|guide|start trading""),""Beginner Tr"&amp;"ading Education"",
REGEXMATCH(LOWER(A64),""interview|journey|talks|wisdom""),""Expert Interview / Trading Insights"",
REGEXMATCH(LOWER(A64),""risk|loss|drawdown|psychology""),""Trading Psychology / Risk Management"",
REGEXMATCH(LOWER(A64),""commodity|crud"&amp;"e|gold|natural gas""),""Commodity Trading Education"",
TRUE,""General Trading Education""
)
"),"General Trading Education")</f>
        <v>General Trading Education</v>
      </c>
    </row>
    <row r="65" ht="15.75" customHeight="1">
      <c r="A65" s="1" t="s">
        <v>329</v>
      </c>
      <c r="B65" s="3" t="s">
        <v>330</v>
      </c>
      <c r="C65" s="1" t="s">
        <v>331</v>
      </c>
      <c r="D65" s="1" t="s">
        <v>332</v>
      </c>
      <c r="E65" s="4">
        <v>45819.0</v>
      </c>
      <c r="F65" s="5">
        <v>0.9833333333333333</v>
      </c>
      <c r="G65" s="1">
        <v>4789.0</v>
      </c>
      <c r="H65" s="1">
        <v>97.0</v>
      </c>
      <c r="I65" s="1">
        <v>26.0</v>
      </c>
      <c r="J65" s="3" t="s">
        <v>333</v>
      </c>
      <c r="K65" s="6">
        <f t="shared" si="1"/>
        <v>2.568385884</v>
      </c>
      <c r="L65" s="7">
        <f t="shared" si="2"/>
        <v>1416</v>
      </c>
      <c r="M65" s="8">
        <f t="shared" si="3"/>
        <v>45817</v>
      </c>
      <c r="N65" s="9" t="str">
        <f>IFERROR(__xludf.DUMMYFUNCTION("IFS(
REGEXMATCH(LOWER(A65),""option|options""),""Options Strategy Education"",
REGEXMATCH(LOWER(A65),""bank nifty|nifty|index""),""Index Options"",
REGEXMATCH(LOWER(A65),""algo|api|systematic""),""Algo Trading / API Tutorial"",
REGEXMATCH(LOWER(A65),""gro"&amp;"ww|mtf|margin|pledge""),""Platform / Groww Feature Tutorial"",
REGEXMATCH(LOWER(A65),""candlestick|chart|price action|trendline|rsi|indicator""),""Technical Analysis / Chart Patterns"",
REGEXMATCH(LOWER(A65),""beginner|guide|start trading""),""Beginner Tr"&amp;"ading Education"",
REGEXMATCH(LOWER(A65),""interview|journey|talks|wisdom""),""Expert Interview / Trading Insights"",
REGEXMATCH(LOWER(A65),""risk|loss|drawdown|psychology""),""Trading Psychology / Risk Management"",
REGEXMATCH(LOWER(A65),""commodity|crud"&amp;"e|gold|natural gas""),""Commodity Trading Education"",
TRUE,""General Trading Education""
)
"),"Algo Trading / API Tutorial")</f>
        <v>Algo Trading / API Tutorial</v>
      </c>
    </row>
    <row r="66" ht="15.75" customHeight="1">
      <c r="A66" s="1" t="s">
        <v>334</v>
      </c>
      <c r="B66" s="3" t="s">
        <v>335</v>
      </c>
      <c r="C66" s="1" t="s">
        <v>336</v>
      </c>
      <c r="D66" s="1" t="s">
        <v>337</v>
      </c>
      <c r="E66" s="4">
        <v>45818.0</v>
      </c>
      <c r="F66" s="5">
        <v>0.47152777777777777</v>
      </c>
      <c r="G66" s="1">
        <v>7941.0</v>
      </c>
      <c r="H66" s="1">
        <v>420.0</v>
      </c>
      <c r="I66" s="1">
        <v>16.0</v>
      </c>
      <c r="J66" s="3" t="s">
        <v>338</v>
      </c>
      <c r="K66" s="6">
        <f t="shared" si="1"/>
        <v>5.490492381</v>
      </c>
      <c r="L66" s="7">
        <f t="shared" si="2"/>
        <v>679</v>
      </c>
      <c r="M66" s="8">
        <f t="shared" si="3"/>
        <v>45817</v>
      </c>
      <c r="N66" s="9" t="str">
        <f>IFERROR(__xludf.DUMMYFUNCTION("IFS(
REGEXMATCH(LOWER(A66),""option|options""),""Options Strategy Education"",
REGEXMATCH(LOWER(A66),""bank nifty|nifty|index""),""Index Options"",
REGEXMATCH(LOWER(A66),""algo|api|systematic""),""Algo Trading / API Tutorial"",
REGEXMATCH(LOWER(A66),""gro"&amp;"ww|mtf|margin|pledge""),""Platform / Groww Feature Tutorial"",
REGEXMATCH(LOWER(A66),""candlestick|chart|price action|trendline|rsi|indicator""),""Technical Analysis / Chart Patterns"",
REGEXMATCH(LOWER(A66),""beginner|guide|start trading""),""Beginner Tr"&amp;"ading Education"",
REGEXMATCH(LOWER(A66),""interview|journey|talks|wisdom""),""Expert Interview / Trading Insights"",
REGEXMATCH(LOWER(A66),""risk|loss|drawdown|psychology""),""Trading Psychology / Risk Management"",
REGEXMATCH(LOWER(A66),""commodity|crud"&amp;"e|gold|natural gas""),""Commodity Trading Education"",
TRUE,""General Trading Education""
)
"),"Technical Analysis / Chart Patterns")</f>
        <v>Technical Analysis / Chart Patterns</v>
      </c>
    </row>
    <row r="67" ht="15.75" customHeight="1">
      <c r="A67" s="1" t="s">
        <v>339</v>
      </c>
      <c r="B67" s="3" t="s">
        <v>340</v>
      </c>
      <c r="C67" s="1" t="s">
        <v>341</v>
      </c>
      <c r="D67" s="1" t="s">
        <v>342</v>
      </c>
      <c r="E67" s="4">
        <v>45816.0</v>
      </c>
      <c r="F67" s="10">
        <v>1.7944444444444445</v>
      </c>
      <c r="G67" s="1">
        <v>10668.0</v>
      </c>
      <c r="H67" s="1">
        <v>381.0</v>
      </c>
      <c r="I67" s="1">
        <v>39.0</v>
      </c>
      <c r="J67" s="3" t="s">
        <v>343</v>
      </c>
      <c r="K67" s="6">
        <f t="shared" si="1"/>
        <v>3.937007874</v>
      </c>
      <c r="L67" s="7">
        <f t="shared" si="2"/>
        <v>2584</v>
      </c>
      <c r="M67" s="8">
        <f t="shared" si="3"/>
        <v>45810</v>
      </c>
      <c r="N67" s="9" t="str">
        <f>IFERROR(__xludf.DUMMYFUNCTION("IFS(
REGEXMATCH(LOWER(A67),""option|options""),""Options Strategy Education"",
REGEXMATCH(LOWER(A67),""bank nifty|nifty|index""),""Index Options"",
REGEXMATCH(LOWER(A67),""algo|api|systematic""),""Algo Trading / API Tutorial"",
REGEXMATCH(LOWER(A67),""gro"&amp;"ww|mtf|margin|pledge""),""Platform / Groww Feature Tutorial"",
REGEXMATCH(LOWER(A67),""candlestick|chart|price action|trendline|rsi|indicator""),""Technical Analysis / Chart Patterns"",
REGEXMATCH(LOWER(A67),""beginner|guide|start trading""),""Beginner Tr"&amp;"ading Education"",
REGEXMATCH(LOWER(A67),""interview|journey|talks|wisdom""),""Expert Interview / Trading Insights"",
REGEXMATCH(LOWER(A67),""risk|loss|drawdown|psychology""),""Trading Psychology / Risk Management"",
REGEXMATCH(LOWER(A67),""commodity|crud"&amp;"e|gold|natural gas""),""Commodity Trading Education"",
TRUE,""General Trading Education""
)
"),"General Trading Education")</f>
        <v>General Trading Education</v>
      </c>
    </row>
    <row r="68" ht="15.75" customHeight="1">
      <c r="A68" s="1" t="s">
        <v>344</v>
      </c>
      <c r="B68" s="3" t="s">
        <v>345</v>
      </c>
      <c r="C68" s="1" t="s">
        <v>346</v>
      </c>
      <c r="D68" s="1" t="s">
        <v>347</v>
      </c>
      <c r="E68" s="4">
        <v>45815.0</v>
      </c>
      <c r="F68" s="10">
        <v>1.6743055555555555</v>
      </c>
      <c r="G68" s="1">
        <v>48840.0</v>
      </c>
      <c r="H68" s="1">
        <v>1209.0</v>
      </c>
      <c r="I68" s="1">
        <v>100.0</v>
      </c>
      <c r="J68" s="3" t="s">
        <v>348</v>
      </c>
      <c r="K68" s="6">
        <f t="shared" si="1"/>
        <v>2.68018018</v>
      </c>
      <c r="L68" s="7">
        <f t="shared" si="2"/>
        <v>2411</v>
      </c>
      <c r="M68" s="8">
        <f t="shared" si="3"/>
        <v>45810</v>
      </c>
      <c r="N68" s="9" t="str">
        <f>IFERROR(__xludf.DUMMYFUNCTION("IFS(
REGEXMATCH(LOWER(A68),""option|options""),""Options Strategy Education"",
REGEXMATCH(LOWER(A68),""bank nifty|nifty|index""),""Index Options"",
REGEXMATCH(LOWER(A68),""algo|api|systematic""),""Algo Trading / API Tutorial"",
REGEXMATCH(LOWER(A68),""gro"&amp;"ww|mtf|margin|pledge""),""Platform / Groww Feature Tutorial"",
REGEXMATCH(LOWER(A68),""candlestick|chart|price action|trendline|rsi|indicator""),""Technical Analysis / Chart Patterns"",
REGEXMATCH(LOWER(A68),""beginner|guide|start trading""),""Beginner Tr"&amp;"ading Education"",
REGEXMATCH(LOWER(A68),""interview|journey|talks|wisdom""),""Expert Interview / Trading Insights"",
REGEXMATCH(LOWER(A68),""risk|loss|drawdown|psychology""),""Trading Psychology / Risk Management"",
REGEXMATCH(LOWER(A68),""commodity|crud"&amp;"e|gold|natural gas""),""Commodity Trading Education"",
TRUE,""General Trading Education""
)
"),"General Trading Education")</f>
        <v>General Trading Education</v>
      </c>
    </row>
    <row r="69" ht="15.75" customHeight="1">
      <c r="A69" s="1" t="s">
        <v>349</v>
      </c>
      <c r="B69" s="3" t="s">
        <v>350</v>
      </c>
      <c r="C69" s="1" t="s">
        <v>351</v>
      </c>
      <c r="D69" s="1" t="s">
        <v>352</v>
      </c>
      <c r="E69" s="4">
        <v>45813.0</v>
      </c>
      <c r="F69" s="5">
        <v>0.9708333333333333</v>
      </c>
      <c r="G69" s="1">
        <v>4159.0</v>
      </c>
      <c r="H69" s="1">
        <v>78.0</v>
      </c>
      <c r="I69" s="1">
        <v>16.0</v>
      </c>
      <c r="J69" s="3" t="s">
        <v>353</v>
      </c>
      <c r="K69" s="6">
        <f t="shared" si="1"/>
        <v>2.260158692</v>
      </c>
      <c r="L69" s="7">
        <f t="shared" si="2"/>
        <v>1398</v>
      </c>
      <c r="M69" s="8">
        <f t="shared" si="3"/>
        <v>45810</v>
      </c>
      <c r="N69" s="9" t="str">
        <f>IFERROR(__xludf.DUMMYFUNCTION("IFS(
REGEXMATCH(LOWER(A69),""option|options""),""Options Strategy Education"",
REGEXMATCH(LOWER(A69),""bank nifty|nifty|index""),""Index Options"",
REGEXMATCH(LOWER(A69),""algo|api|systematic""),""Algo Trading / API Tutorial"",
REGEXMATCH(LOWER(A69),""gro"&amp;"ww|mtf|margin|pledge""),""Platform / Groww Feature Tutorial"",
REGEXMATCH(LOWER(A69),""candlestick|chart|price action|trendline|rsi|indicator""),""Technical Analysis / Chart Patterns"",
REGEXMATCH(LOWER(A69),""beginner|guide|start trading""),""Beginner Tr"&amp;"ading Education"",
REGEXMATCH(LOWER(A69),""interview|journey|talks|wisdom""),""Expert Interview / Trading Insights"",
REGEXMATCH(LOWER(A69),""risk|loss|drawdown|psychology""),""Trading Psychology / Risk Management"",
REGEXMATCH(LOWER(A69),""commodity|crud"&amp;"e|gold|natural gas""),""Commodity Trading Education"",
TRUE,""General Trading Education""
)
"),"Algo Trading / API Tutorial")</f>
        <v>Algo Trading / API Tutorial</v>
      </c>
    </row>
    <row r="70" ht="15.75" customHeight="1">
      <c r="A70" s="1" t="s">
        <v>354</v>
      </c>
      <c r="B70" s="3" t="s">
        <v>355</v>
      </c>
      <c r="C70" s="1" t="s">
        <v>356</v>
      </c>
      <c r="D70" s="1" t="s">
        <v>357</v>
      </c>
      <c r="E70" s="4">
        <v>45809.0</v>
      </c>
      <c r="F70" s="5">
        <v>0.525</v>
      </c>
      <c r="G70" s="1">
        <v>5851.0</v>
      </c>
      <c r="H70" s="1">
        <v>119.0</v>
      </c>
      <c r="I70" s="1">
        <v>7.0</v>
      </c>
      <c r="J70" s="3" t="s">
        <v>358</v>
      </c>
      <c r="K70" s="6">
        <f t="shared" si="1"/>
        <v>2.153478038</v>
      </c>
      <c r="L70" s="7">
        <f t="shared" si="2"/>
        <v>756</v>
      </c>
      <c r="M70" s="8">
        <f t="shared" si="3"/>
        <v>45803</v>
      </c>
      <c r="N70" s="9" t="str">
        <f>IFERROR(__xludf.DUMMYFUNCTION("IFS(
REGEXMATCH(LOWER(A70),""option|options""),""Options Strategy Education"",
REGEXMATCH(LOWER(A70),""bank nifty|nifty|index""),""Index Options"",
REGEXMATCH(LOWER(A70),""algo|api|systematic""),""Algo Trading / API Tutorial"",
REGEXMATCH(LOWER(A70),""gro"&amp;"ww|mtf|margin|pledge""),""Platform / Groww Feature Tutorial"",
REGEXMATCH(LOWER(A70),""candlestick|chart|price action|trendline|rsi|indicator""),""Technical Analysis / Chart Patterns"",
REGEXMATCH(LOWER(A70),""beginner|guide|start trading""),""Beginner Tr"&amp;"ading Education"",
REGEXMATCH(LOWER(A70),""interview|journey|talks|wisdom""),""Expert Interview / Trading Insights"",
REGEXMATCH(LOWER(A70),""risk|loss|drawdown|psychology""),""Trading Psychology / Risk Management"",
REGEXMATCH(LOWER(A70),""commodity|crud"&amp;"e|gold|natural gas""),""Commodity Trading Education"",
TRUE,""General Trading Education""
)
"),"Algo Trading / API Tutorial")</f>
        <v>Algo Trading / API Tutorial</v>
      </c>
    </row>
    <row r="71" ht="15.75" customHeight="1">
      <c r="A71" s="1" t="s">
        <v>359</v>
      </c>
      <c r="B71" s="3" t="s">
        <v>360</v>
      </c>
      <c r="C71" s="1" t="s">
        <v>361</v>
      </c>
      <c r="D71" s="1" t="s">
        <v>362</v>
      </c>
      <c r="E71" s="4">
        <v>45808.0</v>
      </c>
      <c r="F71" s="5">
        <v>0.5291666666666667</v>
      </c>
      <c r="G71" s="1">
        <v>7140.0</v>
      </c>
      <c r="H71" s="1">
        <v>373.0</v>
      </c>
      <c r="I71" s="1">
        <v>19.0</v>
      </c>
      <c r="J71" s="3" t="s">
        <v>363</v>
      </c>
      <c r="K71" s="6">
        <f t="shared" si="1"/>
        <v>5.490196078</v>
      </c>
      <c r="L71" s="7">
        <f t="shared" si="2"/>
        <v>762</v>
      </c>
      <c r="M71" s="8">
        <f t="shared" si="3"/>
        <v>45803</v>
      </c>
      <c r="N71" s="9" t="str">
        <f>IFERROR(__xludf.DUMMYFUNCTION("IFS(
REGEXMATCH(LOWER(A71),""option|options""),""Options Strategy Education"",
REGEXMATCH(LOWER(A71),""bank nifty|nifty|index""),""Index Options"",
REGEXMATCH(LOWER(A71),""algo|api|systematic""),""Algo Trading / API Tutorial"",
REGEXMATCH(LOWER(A71),""gro"&amp;"ww|mtf|margin|pledge""),""Platform / Groww Feature Tutorial"",
REGEXMATCH(LOWER(A71),""candlestick|chart|price action|trendline|rsi|indicator""),""Technical Analysis / Chart Patterns"",
REGEXMATCH(LOWER(A71),""beginner|guide|start trading""),""Beginner Tr"&amp;"ading Education"",
REGEXMATCH(LOWER(A71),""interview|journey|talks|wisdom""),""Expert Interview / Trading Insights"",
REGEXMATCH(LOWER(A71),""risk|loss|drawdown|psychology""),""Trading Psychology / Risk Management"",
REGEXMATCH(LOWER(A71),""commodity|crud"&amp;"e|gold|natural gas""),""Commodity Trading Education"",
TRUE,""General Trading Education""
)
"),"Trading Psychology / Risk Management")</f>
        <v>Trading Psychology / Risk Management</v>
      </c>
    </row>
    <row r="72" ht="15.75" customHeight="1">
      <c r="A72" s="1" t="s">
        <v>364</v>
      </c>
      <c r="B72" s="3" t="s">
        <v>365</v>
      </c>
      <c r="C72" s="1" t="s">
        <v>366</v>
      </c>
      <c r="D72" s="1" t="s">
        <v>367</v>
      </c>
      <c r="E72" s="4">
        <v>45806.0</v>
      </c>
      <c r="F72" s="5">
        <v>0.4618055555555556</v>
      </c>
      <c r="G72" s="1">
        <v>4781.0</v>
      </c>
      <c r="H72" s="1">
        <v>198.0</v>
      </c>
      <c r="I72" s="1">
        <v>9.0</v>
      </c>
      <c r="J72" s="3" t="s">
        <v>368</v>
      </c>
      <c r="K72" s="6">
        <f t="shared" si="1"/>
        <v>4.329638151</v>
      </c>
      <c r="L72" s="7">
        <f t="shared" si="2"/>
        <v>665</v>
      </c>
      <c r="M72" s="8">
        <f t="shared" si="3"/>
        <v>45803</v>
      </c>
      <c r="N72" s="9" t="str">
        <f>IFERROR(__xludf.DUMMYFUNCTION("IFS(
REGEXMATCH(LOWER(A72),""option|options""),""Options Strategy Education"",
REGEXMATCH(LOWER(A72),""bank nifty|nifty|index""),""Index Options"",
REGEXMATCH(LOWER(A72),""algo|api|systematic""),""Algo Trading / API Tutorial"",
REGEXMATCH(LOWER(A72),""gro"&amp;"ww|mtf|margin|pledge""),""Platform / Groww Feature Tutorial"",
REGEXMATCH(LOWER(A72),""candlestick|chart|price action|trendline|rsi|indicator""),""Technical Analysis / Chart Patterns"",
REGEXMATCH(LOWER(A72),""beginner|guide|start trading""),""Beginner Tr"&amp;"ading Education"",
REGEXMATCH(LOWER(A72),""interview|journey|talks|wisdom""),""Expert Interview / Trading Insights"",
REGEXMATCH(LOWER(A72),""risk|loss|drawdown|psychology""),""Trading Psychology / Risk Management"",
REGEXMATCH(LOWER(A72),""commodity|crud"&amp;"e|gold|natural gas""),""Commodity Trading Education"",
TRUE,""General Trading Education""
)
"),"Options Strategy Education")</f>
        <v>Options Strategy Education</v>
      </c>
    </row>
    <row r="73" ht="15.75" customHeight="1">
      <c r="A73" s="1" t="s">
        <v>369</v>
      </c>
      <c r="B73" s="3" t="s">
        <v>370</v>
      </c>
      <c r="C73" s="1" t="s">
        <v>371</v>
      </c>
      <c r="D73" s="1" t="s">
        <v>372</v>
      </c>
      <c r="E73" s="4">
        <v>45805.0</v>
      </c>
      <c r="F73" s="10">
        <v>1.1465277777777778</v>
      </c>
      <c r="G73" s="1">
        <v>22716.0</v>
      </c>
      <c r="H73" s="1">
        <v>383.0</v>
      </c>
      <c r="I73" s="1">
        <v>28.0</v>
      </c>
      <c r="J73" s="3" t="s">
        <v>373</v>
      </c>
      <c r="K73" s="6">
        <f t="shared" si="1"/>
        <v>1.809297412</v>
      </c>
      <c r="L73" s="7">
        <f t="shared" si="2"/>
        <v>1651</v>
      </c>
      <c r="M73" s="8">
        <f t="shared" si="3"/>
        <v>45803</v>
      </c>
      <c r="N73" s="9" t="str">
        <f>IFERROR(__xludf.DUMMYFUNCTION("IFS(
REGEXMATCH(LOWER(A73),""option|options""),""Options Strategy Education"",
REGEXMATCH(LOWER(A73),""bank nifty|nifty|index""),""Index Options"",
REGEXMATCH(LOWER(A73),""algo|api|systematic""),""Algo Trading / API Tutorial"",
REGEXMATCH(LOWER(A73),""gro"&amp;"ww|mtf|margin|pledge""),""Platform / Groww Feature Tutorial"",
REGEXMATCH(LOWER(A73),""candlestick|chart|price action|trendline|rsi|indicator""),""Technical Analysis / Chart Patterns"",
REGEXMATCH(LOWER(A73),""beginner|guide|start trading""),""Beginner Tr"&amp;"ading Education"",
REGEXMATCH(LOWER(A73),""interview|journey|talks|wisdom""),""Expert Interview / Trading Insights"",
REGEXMATCH(LOWER(A73),""risk|loss|drawdown|psychology""),""Trading Psychology / Risk Management"",
REGEXMATCH(LOWER(A73),""commodity|crud"&amp;"e|gold|natural gas""),""Commodity Trading Education"",
TRUE,""General Trading Education""
)
"),"Algo Trading / API Tutorial")</f>
        <v>Algo Trading / API Tutorial</v>
      </c>
    </row>
    <row r="74" ht="15.75" customHeight="1">
      <c r="A74" s="1" t="s">
        <v>374</v>
      </c>
      <c r="B74" s="3" t="s">
        <v>375</v>
      </c>
      <c r="C74" s="1" t="s">
        <v>376</v>
      </c>
      <c r="D74" s="1" t="s">
        <v>377</v>
      </c>
      <c r="E74" s="4">
        <v>45801.0</v>
      </c>
      <c r="F74" s="10">
        <v>1.604861111111111</v>
      </c>
      <c r="G74" s="1">
        <v>12757.0</v>
      </c>
      <c r="H74" s="1">
        <v>287.0</v>
      </c>
      <c r="I74" s="1">
        <v>24.0</v>
      </c>
      <c r="J74" s="3" t="s">
        <v>378</v>
      </c>
      <c r="K74" s="6">
        <f t="shared" si="1"/>
        <v>2.437877244</v>
      </c>
      <c r="L74" s="7">
        <f t="shared" si="2"/>
        <v>2311</v>
      </c>
      <c r="M74" s="8">
        <f t="shared" si="3"/>
        <v>45796</v>
      </c>
      <c r="N74" s="9" t="str">
        <f>IFERROR(__xludf.DUMMYFUNCTION("IFS(
REGEXMATCH(LOWER(A74),""option|options""),""Options Strategy Education"",
REGEXMATCH(LOWER(A74),""bank nifty|nifty|index""),""Index Options"",
REGEXMATCH(LOWER(A74),""algo|api|systematic""),""Algo Trading / API Tutorial"",
REGEXMATCH(LOWER(A74),""gro"&amp;"ww|mtf|margin|pledge""),""Platform / Groww Feature Tutorial"",
REGEXMATCH(LOWER(A74),""candlestick|chart|price action|trendline|rsi|indicator""),""Technical Analysis / Chart Patterns"",
REGEXMATCH(LOWER(A74),""beginner|guide|start trading""),""Beginner Tr"&amp;"ading Education"",
REGEXMATCH(LOWER(A74),""interview|journey|talks|wisdom""),""Expert Interview / Trading Insights"",
REGEXMATCH(LOWER(A74),""risk|loss|drawdown|psychology""),""Trading Psychology / Risk Management"",
REGEXMATCH(LOWER(A74),""commodity|crud"&amp;"e|gold|natural gas""),""Commodity Trading Education"",
TRUE,""General Trading Education""
)
"),"Beginner Trading Education")</f>
        <v>Beginner Trading Education</v>
      </c>
    </row>
    <row r="75" ht="15.75" customHeight="1">
      <c r="A75" s="1" t="s">
        <v>379</v>
      </c>
      <c r="B75" s="3" t="s">
        <v>380</v>
      </c>
      <c r="C75" s="1" t="s">
        <v>381</v>
      </c>
      <c r="D75" s="1" t="s">
        <v>382</v>
      </c>
      <c r="E75" s="4">
        <v>45800.0</v>
      </c>
      <c r="F75" s="5">
        <v>0.4375</v>
      </c>
      <c r="G75" s="1">
        <v>17043.0</v>
      </c>
      <c r="H75" s="1">
        <v>438.0</v>
      </c>
      <c r="I75" s="1">
        <v>41.0</v>
      </c>
      <c r="J75" s="3" t="s">
        <v>383</v>
      </c>
      <c r="K75" s="6">
        <f t="shared" si="1"/>
        <v>2.810538051</v>
      </c>
      <c r="L75" s="7">
        <f t="shared" si="2"/>
        <v>630</v>
      </c>
      <c r="M75" s="8">
        <f t="shared" si="3"/>
        <v>45796</v>
      </c>
      <c r="N75" s="9" t="str">
        <f>IFERROR(__xludf.DUMMYFUNCTION("IFS(
REGEXMATCH(LOWER(A75),""option|options""),""Options Strategy Education"",
REGEXMATCH(LOWER(A75),""bank nifty|nifty|index""),""Index Options"",
REGEXMATCH(LOWER(A75),""algo|api|systematic""),""Algo Trading / API Tutorial"",
REGEXMATCH(LOWER(A75),""gro"&amp;"ww|mtf|margin|pledge""),""Platform / Groww Feature Tutorial"",
REGEXMATCH(LOWER(A75),""candlestick|chart|price action|trendline|rsi|indicator""),""Technical Analysis / Chart Patterns"",
REGEXMATCH(LOWER(A75),""beginner|guide|start trading""),""Beginner Tr"&amp;"ading Education"",
REGEXMATCH(LOWER(A75),""interview|journey|talks|wisdom""),""Expert Interview / Trading Insights"",
REGEXMATCH(LOWER(A75),""risk|loss|drawdown|psychology""),""Trading Psychology / Risk Management"",
REGEXMATCH(LOWER(A75),""commodity|crud"&amp;"e|gold|natural gas""),""Commodity Trading Education"",
TRUE,""General Trading Education""
)
"),"Algo Trading / API Tutorial")</f>
        <v>Algo Trading / API Tutorial</v>
      </c>
    </row>
    <row r="76" ht="15.75" customHeight="1">
      <c r="A76" s="1" t="s">
        <v>384</v>
      </c>
      <c r="B76" s="3" t="s">
        <v>385</v>
      </c>
      <c r="C76" s="1" t="s">
        <v>386</v>
      </c>
      <c r="D76" s="1" t="s">
        <v>387</v>
      </c>
      <c r="E76" s="4">
        <v>45798.0</v>
      </c>
      <c r="F76" s="5">
        <v>0.27847222222222223</v>
      </c>
      <c r="G76" s="1">
        <v>23377.0</v>
      </c>
      <c r="H76" s="1">
        <v>536.0</v>
      </c>
      <c r="I76" s="1">
        <v>30.0</v>
      </c>
      <c r="J76" s="3" t="s">
        <v>388</v>
      </c>
      <c r="K76" s="6">
        <f t="shared" si="1"/>
        <v>2.421183214</v>
      </c>
      <c r="L76" s="7">
        <f t="shared" si="2"/>
        <v>401</v>
      </c>
      <c r="M76" s="8">
        <f t="shared" si="3"/>
        <v>45796</v>
      </c>
      <c r="N76" s="9" t="str">
        <f>IFERROR(__xludf.DUMMYFUNCTION("IFS(
REGEXMATCH(LOWER(A76),""option|options""),""Options Strategy Education"",
REGEXMATCH(LOWER(A76),""bank nifty|nifty|index""),""Index Options"",
REGEXMATCH(LOWER(A76),""algo|api|systematic""),""Algo Trading / API Tutorial"",
REGEXMATCH(LOWER(A76),""gro"&amp;"ww|mtf|margin|pledge""),""Platform / Groww Feature Tutorial"",
REGEXMATCH(LOWER(A76),""candlestick|chart|price action|trendline|rsi|indicator""),""Technical Analysis / Chart Patterns"",
REGEXMATCH(LOWER(A76),""beginner|guide|start trading""),""Beginner Tr"&amp;"ading Education"",
REGEXMATCH(LOWER(A76),""interview|journey|talks|wisdom""),""Expert Interview / Trading Insights"",
REGEXMATCH(LOWER(A76),""risk|loss|drawdown|psychology""),""Trading Psychology / Risk Management"",
REGEXMATCH(LOWER(A76),""commodity|crud"&amp;"e|gold|natural gas""),""Commodity Trading Education"",
TRUE,""General Trading Education""
)
"),"Algo Trading / API Tutorial")</f>
        <v>Algo Trading / API Tutorial</v>
      </c>
    </row>
    <row r="77" ht="15.75" customHeight="1">
      <c r="A77" s="1" t="s">
        <v>389</v>
      </c>
      <c r="B77" s="3" t="s">
        <v>390</v>
      </c>
      <c r="C77" s="1" t="s">
        <v>391</v>
      </c>
      <c r="D77" s="1" t="s">
        <v>392</v>
      </c>
      <c r="E77" s="4">
        <v>45796.0</v>
      </c>
      <c r="F77" s="5">
        <v>0.44583333333333336</v>
      </c>
      <c r="G77" s="1">
        <v>6596.0</v>
      </c>
      <c r="H77" s="1">
        <v>270.0</v>
      </c>
      <c r="I77" s="1">
        <v>12.0</v>
      </c>
      <c r="J77" s="3" t="s">
        <v>393</v>
      </c>
      <c r="K77" s="6">
        <f t="shared" si="1"/>
        <v>4.275318375</v>
      </c>
      <c r="L77" s="7">
        <f t="shared" si="2"/>
        <v>642</v>
      </c>
      <c r="M77" s="8">
        <f t="shared" si="3"/>
        <v>45796</v>
      </c>
      <c r="N77" s="9" t="str">
        <f>IFERROR(__xludf.DUMMYFUNCTION("IFS(
REGEXMATCH(LOWER(A77),""option|options""),""Options Strategy Education"",
REGEXMATCH(LOWER(A77),""bank nifty|nifty|index""),""Index Options"",
REGEXMATCH(LOWER(A77),""algo|api|systematic""),""Algo Trading / API Tutorial"",
REGEXMATCH(LOWER(A77),""gro"&amp;"ww|mtf|margin|pledge""),""Platform / Groww Feature Tutorial"",
REGEXMATCH(LOWER(A77),""candlestick|chart|price action|trendline|rsi|indicator""),""Technical Analysis / Chart Patterns"",
REGEXMATCH(LOWER(A77),""beginner|guide|start trading""),""Beginner Tr"&amp;"ading Education"",
REGEXMATCH(LOWER(A77),""interview|journey|talks|wisdom""),""Expert Interview / Trading Insights"",
REGEXMATCH(LOWER(A77),""risk|loss|drawdown|psychology""),""Trading Psychology / Risk Management"",
REGEXMATCH(LOWER(A77),""commodity|crud"&amp;"e|gold|natural gas""),""Commodity Trading Education"",
TRUE,""General Trading Education""
)
"),"General Trading Education")</f>
        <v>General Trading Education</v>
      </c>
    </row>
    <row r="78" ht="15.75" customHeight="1">
      <c r="A78" s="1" t="s">
        <v>394</v>
      </c>
      <c r="B78" s="3" t="s">
        <v>395</v>
      </c>
      <c r="C78" s="1" t="s">
        <v>396</v>
      </c>
      <c r="D78" s="1" t="s">
        <v>397</v>
      </c>
      <c r="E78" s="4">
        <v>45792.0</v>
      </c>
      <c r="F78" s="5">
        <v>0.5618055555555556</v>
      </c>
      <c r="G78" s="1">
        <v>2603.0</v>
      </c>
      <c r="H78" s="1">
        <v>103.0</v>
      </c>
      <c r="I78" s="1">
        <v>5.0</v>
      </c>
      <c r="J78" s="3" t="s">
        <v>398</v>
      </c>
      <c r="K78" s="6">
        <f t="shared" si="1"/>
        <v>4.149058778</v>
      </c>
      <c r="L78" s="7">
        <f t="shared" si="2"/>
        <v>809</v>
      </c>
      <c r="M78" s="8">
        <f t="shared" si="3"/>
        <v>45789</v>
      </c>
      <c r="N78" s="9" t="str">
        <f>IFERROR(__xludf.DUMMYFUNCTION("IFS(
REGEXMATCH(LOWER(A78),""option|options""),""Options Strategy Education"",
REGEXMATCH(LOWER(A78),""bank nifty|nifty|index""),""Index Options"",
REGEXMATCH(LOWER(A78),""algo|api|systematic""),""Algo Trading / API Tutorial"",
REGEXMATCH(LOWER(A78),""gro"&amp;"ww|mtf|margin|pledge""),""Platform / Groww Feature Tutorial"",
REGEXMATCH(LOWER(A78),""candlestick|chart|price action|trendline|rsi|indicator""),""Technical Analysis / Chart Patterns"",
REGEXMATCH(LOWER(A78),""beginner|guide|start trading""),""Beginner Tr"&amp;"ading Education"",
REGEXMATCH(LOWER(A78),""interview|journey|talks|wisdom""),""Expert Interview / Trading Insights"",
REGEXMATCH(LOWER(A78),""risk|loss|drawdown|psychology""),""Trading Psychology / Risk Management"",
REGEXMATCH(LOWER(A78),""commodity|crud"&amp;"e|gold|natural gas""),""Commodity Trading Education"",
TRUE,""General Trading Education""
)
"),"General Trading Education")</f>
        <v>General Trading Education</v>
      </c>
    </row>
    <row r="79" ht="15.75" customHeight="1">
      <c r="A79" s="1" t="s">
        <v>399</v>
      </c>
      <c r="B79" s="3" t="s">
        <v>400</v>
      </c>
      <c r="C79" s="1" t="s">
        <v>401</v>
      </c>
      <c r="D79" s="1" t="s">
        <v>402</v>
      </c>
      <c r="E79" s="4">
        <v>45790.0</v>
      </c>
      <c r="F79" s="5">
        <v>0.4625</v>
      </c>
      <c r="G79" s="1">
        <v>2212.0</v>
      </c>
      <c r="H79" s="1">
        <v>112.0</v>
      </c>
      <c r="I79" s="1">
        <v>13.0</v>
      </c>
      <c r="J79" s="3" t="s">
        <v>403</v>
      </c>
      <c r="K79" s="6">
        <f t="shared" si="1"/>
        <v>5.650994575</v>
      </c>
      <c r="L79" s="7">
        <f t="shared" si="2"/>
        <v>666</v>
      </c>
      <c r="M79" s="8">
        <f t="shared" si="3"/>
        <v>45789</v>
      </c>
      <c r="N79" s="9" t="str">
        <f>IFERROR(__xludf.DUMMYFUNCTION("IFS(
REGEXMATCH(LOWER(A79),""option|options""),""Options Strategy Education"",
REGEXMATCH(LOWER(A79),""bank nifty|nifty|index""),""Index Options"",
REGEXMATCH(LOWER(A79),""algo|api|systematic""),""Algo Trading / API Tutorial"",
REGEXMATCH(LOWER(A79),""gro"&amp;"ww|mtf|margin|pledge""),""Platform / Groww Feature Tutorial"",
REGEXMATCH(LOWER(A79),""candlestick|chart|price action|trendline|rsi|indicator""),""Technical Analysis / Chart Patterns"",
REGEXMATCH(LOWER(A79),""beginner|guide|start trading""),""Beginner Tr"&amp;"ading Education"",
REGEXMATCH(LOWER(A79),""interview|journey|talks|wisdom""),""Expert Interview / Trading Insights"",
REGEXMATCH(LOWER(A79),""risk|loss|drawdown|psychology""),""Trading Psychology / Risk Management"",
REGEXMATCH(LOWER(A79),""commodity|crud"&amp;"e|gold|natural gas""),""Commodity Trading Education"",
TRUE,""General Trading Education""
)
"),"General Trading Education")</f>
        <v>General Trading Education</v>
      </c>
    </row>
    <row r="80" ht="15.75" customHeight="1">
      <c r="A80" s="1" t="s">
        <v>404</v>
      </c>
      <c r="B80" s="3" t="s">
        <v>405</v>
      </c>
      <c r="C80" s="1" t="s">
        <v>406</v>
      </c>
      <c r="D80" s="1" t="s">
        <v>407</v>
      </c>
      <c r="E80" s="4">
        <v>45787.0</v>
      </c>
      <c r="F80" s="10">
        <v>1.9180555555555556</v>
      </c>
      <c r="G80" s="1">
        <v>43448.0</v>
      </c>
      <c r="H80" s="1">
        <v>962.0</v>
      </c>
      <c r="I80" s="1">
        <v>76.0</v>
      </c>
      <c r="J80" s="3" t="s">
        <v>408</v>
      </c>
      <c r="K80" s="6">
        <f t="shared" si="1"/>
        <v>2.389062788</v>
      </c>
      <c r="L80" s="7">
        <f t="shared" si="2"/>
        <v>2762</v>
      </c>
      <c r="M80" s="8">
        <f t="shared" si="3"/>
        <v>45782</v>
      </c>
      <c r="N80" s="9" t="str">
        <f>IFERROR(__xludf.DUMMYFUNCTION("IFS(
REGEXMATCH(LOWER(A80),""option|options""),""Options Strategy Education"",
REGEXMATCH(LOWER(A80),""bank nifty|nifty|index""),""Index Options"",
REGEXMATCH(LOWER(A80),""algo|api|systematic""),""Algo Trading / API Tutorial"",
REGEXMATCH(LOWER(A80),""gro"&amp;"ww|mtf|margin|pledge""),""Platform / Groww Feature Tutorial"",
REGEXMATCH(LOWER(A80),""candlestick|chart|price action|trendline|rsi|indicator""),""Technical Analysis / Chart Patterns"",
REGEXMATCH(LOWER(A80),""beginner|guide|start trading""),""Beginner Tr"&amp;"ading Education"",
REGEXMATCH(LOWER(A80),""interview|journey|talks|wisdom""),""Expert Interview / Trading Insights"",
REGEXMATCH(LOWER(A80),""risk|loss|drawdown|psychology""),""Trading Psychology / Risk Management"",
REGEXMATCH(LOWER(A80),""commodity|crud"&amp;"e|gold|natural gas""),""Commodity Trading Education"",
TRUE,""General Trading Education""
)
"),"Expert Interview / Trading Insights")</f>
        <v>Expert Interview / Trading Insights</v>
      </c>
    </row>
    <row r="81" ht="15.75" customHeight="1">
      <c r="A81" s="1" t="s">
        <v>409</v>
      </c>
      <c r="B81" s="3" t="s">
        <v>410</v>
      </c>
      <c r="C81" s="1" t="s">
        <v>411</v>
      </c>
      <c r="D81" s="1" t="s">
        <v>412</v>
      </c>
      <c r="E81" s="4">
        <v>45785.0</v>
      </c>
      <c r="F81" s="5">
        <v>0.44027777777777777</v>
      </c>
      <c r="G81" s="1">
        <v>5786.0</v>
      </c>
      <c r="H81" s="1">
        <v>230.0</v>
      </c>
      <c r="I81" s="1">
        <v>11.0</v>
      </c>
      <c r="J81" s="3" t="s">
        <v>413</v>
      </c>
      <c r="K81" s="6">
        <f t="shared" si="1"/>
        <v>4.165226409</v>
      </c>
      <c r="L81" s="7">
        <f t="shared" si="2"/>
        <v>634</v>
      </c>
      <c r="M81" s="8">
        <f t="shared" si="3"/>
        <v>45782</v>
      </c>
      <c r="N81" s="9" t="str">
        <f>IFERROR(__xludf.DUMMYFUNCTION("IFS(
REGEXMATCH(LOWER(A81),""option|options""),""Options Strategy Education"",
REGEXMATCH(LOWER(A81),""bank nifty|nifty|index""),""Index Options"",
REGEXMATCH(LOWER(A81),""algo|api|systematic""),""Algo Trading / API Tutorial"",
REGEXMATCH(LOWER(A81),""gro"&amp;"ww|mtf|margin|pledge""),""Platform / Groww Feature Tutorial"",
REGEXMATCH(LOWER(A81),""candlestick|chart|price action|trendline|rsi|indicator""),""Technical Analysis / Chart Patterns"",
REGEXMATCH(LOWER(A81),""beginner|guide|start trading""),""Beginner Tr"&amp;"ading Education"",
REGEXMATCH(LOWER(A81),""interview|journey|talks|wisdom""),""Expert Interview / Trading Insights"",
REGEXMATCH(LOWER(A81),""risk|loss|drawdown|psychology""),""Trading Psychology / Risk Management"",
REGEXMATCH(LOWER(A81),""commodity|crud"&amp;"e|gold|natural gas""),""Commodity Trading Education"",
TRUE,""General Trading Education""
)
"),"Beginner Trading Education")</f>
        <v>Beginner Trading Education</v>
      </c>
    </row>
    <row r="82" ht="15.75" customHeight="1">
      <c r="A82" s="1" t="s">
        <v>414</v>
      </c>
      <c r="B82" s="3" t="s">
        <v>415</v>
      </c>
      <c r="C82" s="1" t="s">
        <v>416</v>
      </c>
      <c r="D82" s="1" t="s">
        <v>417</v>
      </c>
      <c r="E82" s="4">
        <v>45784.0</v>
      </c>
      <c r="F82" s="10">
        <v>1.6777777777777778</v>
      </c>
      <c r="G82" s="1">
        <v>3371.0</v>
      </c>
      <c r="H82" s="1">
        <v>82.0</v>
      </c>
      <c r="I82" s="1">
        <v>11.0</v>
      </c>
      <c r="J82" s="3" t="s">
        <v>418</v>
      </c>
      <c r="K82" s="6">
        <f t="shared" si="1"/>
        <v>2.758825274</v>
      </c>
      <c r="L82" s="7">
        <f t="shared" si="2"/>
        <v>2416</v>
      </c>
      <c r="M82" s="8">
        <f t="shared" si="3"/>
        <v>45782</v>
      </c>
      <c r="N82" s="9" t="str">
        <f>IFERROR(__xludf.DUMMYFUNCTION("IFS(
REGEXMATCH(LOWER(A82),""option|options""),""Options Strategy Education"",
REGEXMATCH(LOWER(A82),""bank nifty|nifty|index""),""Index Options"",
REGEXMATCH(LOWER(A82),""algo|api|systematic""),""Algo Trading / API Tutorial"",
REGEXMATCH(LOWER(A82),""gro"&amp;"ww|mtf|margin|pledge""),""Platform / Groww Feature Tutorial"",
REGEXMATCH(LOWER(A82),""candlestick|chart|price action|trendline|rsi|indicator""),""Technical Analysis / Chart Patterns"",
REGEXMATCH(LOWER(A82),""beginner|guide|start trading""),""Beginner Tr"&amp;"ading Education"",
REGEXMATCH(LOWER(A82),""interview|journey|talks|wisdom""),""Expert Interview / Trading Insights"",
REGEXMATCH(LOWER(A82),""risk|loss|drawdown|psychology""),""Trading Psychology / Risk Management"",
REGEXMATCH(LOWER(A82),""commodity|crud"&amp;"e|gold|natural gas""),""Commodity Trading Education"",
TRUE,""General Trading Education""
)
"),"Algo Trading / API Tutorial")</f>
        <v>Algo Trading / API Tutorial</v>
      </c>
    </row>
    <row r="83" ht="15.75" customHeight="1">
      <c r="A83" s="1" t="s">
        <v>419</v>
      </c>
      <c r="B83" s="3" t="s">
        <v>420</v>
      </c>
      <c r="C83" s="1" t="s">
        <v>421</v>
      </c>
      <c r="D83" s="1" t="s">
        <v>422</v>
      </c>
      <c r="E83" s="4">
        <v>45763.0</v>
      </c>
      <c r="F83" s="5">
        <v>0.6548611111111111</v>
      </c>
      <c r="G83" s="1">
        <v>15286.0</v>
      </c>
      <c r="H83" s="1">
        <v>422.0</v>
      </c>
      <c r="I83" s="1">
        <v>26.0</v>
      </c>
      <c r="J83" s="3" t="s">
        <v>423</v>
      </c>
      <c r="K83" s="6">
        <f t="shared" si="1"/>
        <v>2.93078634</v>
      </c>
      <c r="L83" s="7">
        <f t="shared" si="2"/>
        <v>943</v>
      </c>
      <c r="M83" s="8">
        <f t="shared" si="3"/>
        <v>45761</v>
      </c>
      <c r="N83" s="9" t="str">
        <f>IFERROR(__xludf.DUMMYFUNCTION("IFS(
REGEXMATCH(LOWER(A83),""option|options""),""Options Strategy Education"",
REGEXMATCH(LOWER(A83),""bank nifty|nifty|index""),""Index Options"",
REGEXMATCH(LOWER(A83),""algo|api|systematic""),""Algo Trading / API Tutorial"",
REGEXMATCH(LOWER(A83),""gro"&amp;"ww|mtf|margin|pledge""),""Platform / Groww Feature Tutorial"",
REGEXMATCH(LOWER(A83),""candlestick|chart|price action|trendline|rsi|indicator""),""Technical Analysis / Chart Patterns"",
REGEXMATCH(LOWER(A83),""beginner|guide|start trading""),""Beginner Tr"&amp;"ading Education"",
REGEXMATCH(LOWER(A83),""interview|journey|talks|wisdom""),""Expert Interview / Trading Insights"",
REGEXMATCH(LOWER(A83),""risk|loss|drawdown|psychology""),""Trading Psychology / Risk Management"",
REGEXMATCH(LOWER(A83),""commodity|crud"&amp;"e|gold|natural gas""),""Commodity Trading Education"",
TRUE,""General Trading Education""
)
"),"Commodity Trading Education")</f>
        <v>Commodity Trading Education</v>
      </c>
    </row>
    <row r="84" ht="15.75" customHeight="1">
      <c r="A84" s="1" t="s">
        <v>424</v>
      </c>
      <c r="B84" s="3" t="s">
        <v>425</v>
      </c>
      <c r="C84" s="1" t="s">
        <v>426</v>
      </c>
      <c r="D84" s="1" t="s">
        <v>427</v>
      </c>
      <c r="E84" s="4">
        <v>45753.0</v>
      </c>
      <c r="F84" s="5">
        <v>0.2638888888888889</v>
      </c>
      <c r="G84" s="1">
        <v>3554.0</v>
      </c>
      <c r="H84" s="1">
        <v>182.0</v>
      </c>
      <c r="I84" s="1">
        <v>12.0</v>
      </c>
      <c r="J84" s="3" t="s">
        <v>428</v>
      </c>
      <c r="K84" s="6">
        <f t="shared" si="1"/>
        <v>5.458638154</v>
      </c>
      <c r="L84" s="7">
        <f t="shared" si="2"/>
        <v>380</v>
      </c>
      <c r="M84" s="8">
        <f t="shared" si="3"/>
        <v>45747</v>
      </c>
      <c r="N84" s="9" t="str">
        <f>IFERROR(__xludf.DUMMYFUNCTION("IFS(
REGEXMATCH(LOWER(A84),""option|options""),""Options Strategy Education"",
REGEXMATCH(LOWER(A84),""bank nifty|nifty|index""),""Index Options"",
REGEXMATCH(LOWER(A84),""algo|api|systematic""),""Algo Trading / API Tutorial"",
REGEXMATCH(LOWER(A84),""gro"&amp;"ww|mtf|margin|pledge""),""Platform / Groww Feature Tutorial"",
REGEXMATCH(LOWER(A84),""candlestick|chart|price action|trendline|rsi|indicator""),""Technical Analysis / Chart Patterns"",
REGEXMATCH(LOWER(A84),""beginner|guide|start trading""),""Beginner Tr"&amp;"ading Education"",
REGEXMATCH(LOWER(A84),""interview|journey|talks|wisdom""),""Expert Interview / Trading Insights"",
REGEXMATCH(LOWER(A84),""risk|loss|drawdown|psychology""),""Trading Psychology / Risk Management"",
REGEXMATCH(LOWER(A84),""commodity|crud"&amp;"e|gold|natural gas""),""Commodity Trading Education"",
TRUE,""General Trading Education""
)
"),"General Trading Education")</f>
        <v>General Trading Education</v>
      </c>
    </row>
    <row r="85" ht="15.75" customHeight="1">
      <c r="A85" s="1" t="s">
        <v>429</v>
      </c>
      <c r="B85" s="3" t="s">
        <v>430</v>
      </c>
      <c r="C85" s="1" t="s">
        <v>431</v>
      </c>
      <c r="D85" s="1" t="s">
        <v>432</v>
      </c>
      <c r="E85" s="4">
        <v>45745.0</v>
      </c>
      <c r="F85" s="12">
        <v>0.044398148148148145</v>
      </c>
      <c r="G85" s="1">
        <v>35324.0</v>
      </c>
      <c r="H85" s="1">
        <v>952.0</v>
      </c>
      <c r="I85" s="1">
        <v>42.0</v>
      </c>
      <c r="J85" s="3" t="s">
        <v>433</v>
      </c>
      <c r="K85" s="6">
        <f t="shared" si="1"/>
        <v>2.813950855</v>
      </c>
      <c r="L85" s="7">
        <f t="shared" si="2"/>
        <v>63.93333333</v>
      </c>
      <c r="M85" s="8">
        <f t="shared" si="3"/>
        <v>45740</v>
      </c>
      <c r="N85" s="9" t="str">
        <f>IFERROR(__xludf.DUMMYFUNCTION("IFS(
REGEXMATCH(LOWER(A85),""option|options""),""Options Strategy Education"",
REGEXMATCH(LOWER(A85),""bank nifty|nifty|index""),""Index Options"",
REGEXMATCH(LOWER(A85),""algo|api|systematic""),""Algo Trading / API Tutorial"",
REGEXMATCH(LOWER(A85),""gro"&amp;"ww|mtf|margin|pledge""),""Platform / Groww Feature Tutorial"",
REGEXMATCH(LOWER(A85),""candlestick|chart|price action|trendline|rsi|indicator""),""Technical Analysis / Chart Patterns"",
REGEXMATCH(LOWER(A85),""beginner|guide|start trading""),""Beginner Tr"&amp;"ading Education"",
REGEXMATCH(LOWER(A85),""interview|journey|talks|wisdom""),""Expert Interview / Trading Insights"",
REGEXMATCH(LOWER(A85),""risk|loss|drawdown|psychology""),""Trading Psychology / Risk Management"",
REGEXMATCH(LOWER(A85),""commodity|crud"&amp;"e|gold|natural gas""),""Commodity Trading Education"",
TRUE,""General Trading Education""
)
"),"General Trading Education")</f>
        <v>General Trading Education</v>
      </c>
    </row>
    <row r="86" ht="15.75" customHeight="1">
      <c r="A86" s="1" t="s">
        <v>434</v>
      </c>
      <c r="B86" s="3" t="s">
        <v>435</v>
      </c>
      <c r="C86" s="1" t="s">
        <v>436</v>
      </c>
      <c r="D86" s="1" t="s">
        <v>437</v>
      </c>
      <c r="E86" s="4">
        <v>45740.0</v>
      </c>
      <c r="F86" s="5">
        <v>0.2611111111111111</v>
      </c>
      <c r="G86" s="1">
        <v>5366.0</v>
      </c>
      <c r="H86" s="1">
        <v>365.0</v>
      </c>
      <c r="I86" s="1">
        <v>28.0</v>
      </c>
      <c r="J86" s="3" t="s">
        <v>438</v>
      </c>
      <c r="K86" s="6">
        <f t="shared" si="1"/>
        <v>7.323891167</v>
      </c>
      <c r="L86" s="7">
        <f t="shared" si="2"/>
        <v>376</v>
      </c>
      <c r="M86" s="8">
        <f t="shared" si="3"/>
        <v>45740</v>
      </c>
      <c r="N86" s="9" t="str">
        <f>IFERROR(__xludf.DUMMYFUNCTION("IFS(
REGEXMATCH(LOWER(A86),""option|options""),""Options Strategy Education"",
REGEXMATCH(LOWER(A86),""bank nifty|nifty|index""),""Index Options"",
REGEXMATCH(LOWER(A86),""algo|api|systematic""),""Algo Trading / API Tutorial"",
REGEXMATCH(LOWER(A86),""gro"&amp;"ww|mtf|margin|pledge""),""Platform / Groww Feature Tutorial"",
REGEXMATCH(LOWER(A86),""candlestick|chart|price action|trendline|rsi|indicator""),""Technical Analysis / Chart Patterns"",
REGEXMATCH(LOWER(A86),""beginner|guide|start trading""),""Beginner Tr"&amp;"ading Education"",
REGEXMATCH(LOWER(A86),""interview|journey|talks|wisdom""),""Expert Interview / Trading Insights"",
REGEXMATCH(LOWER(A86),""risk|loss|drawdown|psychology""),""Trading Psychology / Risk Management"",
REGEXMATCH(LOWER(A86),""commodity|crud"&amp;"e|gold|natural gas""),""Commodity Trading Education"",
TRUE,""General Trading Education""
)
"),"Options Strategy Education")</f>
        <v>Options Strategy Education</v>
      </c>
    </row>
    <row r="87" ht="15.75" customHeight="1">
      <c r="A87" s="1" t="s">
        <v>439</v>
      </c>
      <c r="B87" s="3" t="s">
        <v>440</v>
      </c>
      <c r="C87" s="1" t="s">
        <v>441</v>
      </c>
      <c r="D87" s="1" t="s">
        <v>442</v>
      </c>
      <c r="E87" s="4">
        <v>45738.0</v>
      </c>
      <c r="F87" s="10">
        <v>1.8097222222222222</v>
      </c>
      <c r="G87" s="1">
        <v>33549.0</v>
      </c>
      <c r="H87" s="1">
        <v>815.0</v>
      </c>
      <c r="I87" s="1">
        <v>25.0</v>
      </c>
      <c r="J87" s="3" t="s">
        <v>443</v>
      </c>
      <c r="K87" s="6">
        <f t="shared" si="1"/>
        <v>2.503800411</v>
      </c>
      <c r="L87" s="7">
        <f t="shared" si="2"/>
        <v>2606</v>
      </c>
      <c r="M87" s="8">
        <f t="shared" si="3"/>
        <v>45733</v>
      </c>
      <c r="N87" s="9" t="str">
        <f>IFERROR(__xludf.DUMMYFUNCTION("IFS(
REGEXMATCH(LOWER(A87),""option|options""),""Options Strategy Education"",
REGEXMATCH(LOWER(A87),""bank nifty|nifty|index""),""Index Options"",
REGEXMATCH(LOWER(A87),""algo|api|systematic""),""Algo Trading / API Tutorial"",
REGEXMATCH(LOWER(A87),""gro"&amp;"ww|mtf|margin|pledge""),""Platform / Groww Feature Tutorial"",
REGEXMATCH(LOWER(A87),""candlestick|chart|price action|trendline|rsi|indicator""),""Technical Analysis / Chart Patterns"",
REGEXMATCH(LOWER(A87),""beginner|guide|start trading""),""Beginner Tr"&amp;"ading Education"",
REGEXMATCH(LOWER(A87),""interview|journey|talks|wisdom""),""Expert Interview / Trading Insights"",
REGEXMATCH(LOWER(A87),""risk|loss|drawdown|psychology""),""Trading Psychology / Risk Management"",
REGEXMATCH(LOWER(A87),""commodity|crud"&amp;"e|gold|natural gas""),""Commodity Trading Education"",
TRUE,""General Trading Education""
)
"),"General Trading Education")</f>
        <v>General Trading Education</v>
      </c>
    </row>
    <row r="88" ht="15.75" customHeight="1">
      <c r="A88" s="1" t="s">
        <v>444</v>
      </c>
      <c r="B88" s="3" t="s">
        <v>445</v>
      </c>
      <c r="C88" s="1" t="s">
        <v>446</v>
      </c>
      <c r="D88" s="1" t="s">
        <v>447</v>
      </c>
      <c r="E88" s="4">
        <v>45734.0</v>
      </c>
      <c r="F88" s="5">
        <v>0.5333333333333333</v>
      </c>
      <c r="G88" s="1">
        <v>8718.0</v>
      </c>
      <c r="H88" s="1">
        <v>434.0</v>
      </c>
      <c r="I88" s="1">
        <v>27.0</v>
      </c>
      <c r="J88" s="3" t="s">
        <v>448</v>
      </c>
      <c r="K88" s="6">
        <f t="shared" si="1"/>
        <v>5.287910071</v>
      </c>
      <c r="L88" s="7">
        <f t="shared" si="2"/>
        <v>768</v>
      </c>
      <c r="M88" s="8">
        <f t="shared" si="3"/>
        <v>45733</v>
      </c>
      <c r="N88" s="9" t="str">
        <f>IFERROR(__xludf.DUMMYFUNCTION("IFS(
REGEXMATCH(LOWER(A88),""option|options""),""Options Strategy Education"",
REGEXMATCH(LOWER(A88),""bank nifty|nifty|index""),""Index Options"",
REGEXMATCH(LOWER(A88),""algo|api|systematic""),""Algo Trading / API Tutorial"",
REGEXMATCH(LOWER(A88),""gro"&amp;"ww|mtf|margin|pledge""),""Platform / Groww Feature Tutorial"",
REGEXMATCH(LOWER(A88),""candlestick|chart|price action|trendline|rsi|indicator""),""Technical Analysis / Chart Patterns"",
REGEXMATCH(LOWER(A88),""beginner|guide|start trading""),""Beginner Tr"&amp;"ading Education"",
REGEXMATCH(LOWER(A88),""interview|journey|talks|wisdom""),""Expert Interview / Trading Insights"",
REGEXMATCH(LOWER(A88),""risk|loss|drawdown|psychology""),""Trading Psychology / Risk Management"",
REGEXMATCH(LOWER(A88),""commodity|crud"&amp;"e|gold|natural gas""),""Commodity Trading Education"",
TRUE,""General Trading Education""
)
"),"General Trading Education")</f>
        <v>General Trading Education</v>
      </c>
    </row>
    <row r="89" ht="15.75" customHeight="1">
      <c r="A89" s="1" t="s">
        <v>449</v>
      </c>
      <c r="B89" s="3" t="s">
        <v>450</v>
      </c>
      <c r="C89" s="1" t="s">
        <v>451</v>
      </c>
      <c r="D89" s="1" t="s">
        <v>452</v>
      </c>
      <c r="E89" s="4">
        <v>45731.0</v>
      </c>
      <c r="F89" s="10">
        <v>1.7034722222222223</v>
      </c>
      <c r="G89" s="1">
        <v>161192.0</v>
      </c>
      <c r="H89" s="1">
        <v>3641.0</v>
      </c>
      <c r="I89" s="1">
        <v>121.0</v>
      </c>
      <c r="J89" s="3" t="s">
        <v>453</v>
      </c>
      <c r="K89" s="6">
        <f t="shared" si="1"/>
        <v>2.333862723</v>
      </c>
      <c r="L89" s="7">
        <f t="shared" si="2"/>
        <v>2453</v>
      </c>
      <c r="M89" s="8">
        <f t="shared" si="3"/>
        <v>45726</v>
      </c>
      <c r="N89" s="9" t="str">
        <f>IFERROR(__xludf.DUMMYFUNCTION("IFS(
REGEXMATCH(LOWER(A89),""option|options""),""Options Strategy Education"",
REGEXMATCH(LOWER(A89),""bank nifty|nifty|index""),""Index Options"",
REGEXMATCH(LOWER(A89),""algo|api|systematic""),""Algo Trading / API Tutorial"",
REGEXMATCH(LOWER(A89),""gro"&amp;"ww|mtf|margin|pledge""),""Platform / Groww Feature Tutorial"",
REGEXMATCH(LOWER(A89),""candlestick|chart|price action|trendline|rsi|indicator""),""Technical Analysis / Chart Patterns"",
REGEXMATCH(LOWER(A89),""beginner|guide|start trading""),""Beginner Tr"&amp;"ading Education"",
REGEXMATCH(LOWER(A89),""interview|journey|talks|wisdom""),""Expert Interview / Trading Insights"",
REGEXMATCH(LOWER(A89),""risk|loss|drawdown|psychology""),""Trading Psychology / Risk Management"",
REGEXMATCH(LOWER(A89),""commodity|crud"&amp;"e|gold|natural gas""),""Commodity Trading Education"",
TRUE,""General Trading Education""
)
"),"Commodity Trading Education")</f>
        <v>Commodity Trading Education</v>
      </c>
    </row>
    <row r="90" ht="15.75" customHeight="1">
      <c r="A90" s="1" t="s">
        <v>454</v>
      </c>
      <c r="B90" s="3" t="s">
        <v>455</v>
      </c>
      <c r="C90" s="1" t="s">
        <v>456</v>
      </c>
      <c r="D90" s="1" t="s">
        <v>457</v>
      </c>
      <c r="E90" s="4">
        <v>45726.0</v>
      </c>
      <c r="F90" s="5">
        <v>0.3923611111111111</v>
      </c>
      <c r="G90" s="1">
        <v>4291.0</v>
      </c>
      <c r="H90" s="1">
        <v>225.0</v>
      </c>
      <c r="I90" s="1">
        <v>21.0</v>
      </c>
      <c r="J90" s="3" t="s">
        <v>458</v>
      </c>
      <c r="K90" s="6">
        <f t="shared" si="1"/>
        <v>5.732929387</v>
      </c>
      <c r="L90" s="7">
        <f t="shared" si="2"/>
        <v>565</v>
      </c>
      <c r="M90" s="8">
        <f t="shared" si="3"/>
        <v>45726</v>
      </c>
      <c r="N90" s="9" t="str">
        <f>IFERROR(__xludf.DUMMYFUNCTION("IFS(
REGEXMATCH(LOWER(A90),""option|options""),""Options Strategy Education"",
REGEXMATCH(LOWER(A90),""bank nifty|nifty|index""),""Index Options"",
REGEXMATCH(LOWER(A90),""algo|api|systematic""),""Algo Trading / API Tutorial"",
REGEXMATCH(LOWER(A90),""gro"&amp;"ww|mtf|margin|pledge""),""Platform / Groww Feature Tutorial"",
REGEXMATCH(LOWER(A90),""candlestick|chart|price action|trendline|rsi|indicator""),""Technical Analysis / Chart Patterns"",
REGEXMATCH(LOWER(A90),""beginner|guide|start trading""),""Beginner Tr"&amp;"ading Education"",
REGEXMATCH(LOWER(A90),""interview|journey|talks|wisdom""),""Expert Interview / Trading Insights"",
REGEXMATCH(LOWER(A90),""risk|loss|drawdown|psychology""),""Trading Psychology / Risk Management"",
REGEXMATCH(LOWER(A90),""commodity|crud"&amp;"e|gold|natural gas""),""Commodity Trading Education"",
TRUE,""General Trading Education""
)
"),"General Trading Education")</f>
        <v>General Trading Education</v>
      </c>
    </row>
    <row r="91" ht="15.75" customHeight="1">
      <c r="A91" s="1" t="s">
        <v>459</v>
      </c>
      <c r="B91" s="3" t="s">
        <v>460</v>
      </c>
      <c r="C91" s="1" t="s">
        <v>461</v>
      </c>
      <c r="D91" s="1" t="s">
        <v>462</v>
      </c>
      <c r="E91" s="4">
        <v>45722.0</v>
      </c>
      <c r="F91" s="5">
        <v>0.5576388888888889</v>
      </c>
      <c r="G91" s="1">
        <v>6993.0</v>
      </c>
      <c r="H91" s="1">
        <v>506.0</v>
      </c>
      <c r="I91" s="1">
        <v>30.0</v>
      </c>
      <c r="J91" s="3" t="s">
        <v>463</v>
      </c>
      <c r="K91" s="6">
        <f t="shared" si="1"/>
        <v>7.664807665</v>
      </c>
      <c r="L91" s="7">
        <f t="shared" si="2"/>
        <v>803</v>
      </c>
      <c r="M91" s="8">
        <f t="shared" si="3"/>
        <v>45719</v>
      </c>
      <c r="N91" s="9" t="str">
        <f>IFERROR(__xludf.DUMMYFUNCTION("IFS(
REGEXMATCH(LOWER(A91),""option|options""),""Options Strategy Education"",
REGEXMATCH(LOWER(A91),""bank nifty|nifty|index""),""Index Options"",
REGEXMATCH(LOWER(A91),""algo|api|systematic""),""Algo Trading / API Tutorial"",
REGEXMATCH(LOWER(A91),""gro"&amp;"ww|mtf|margin|pledge""),""Platform / Groww Feature Tutorial"",
REGEXMATCH(LOWER(A91),""candlestick|chart|price action|trendline|rsi|indicator""),""Technical Analysis / Chart Patterns"",
REGEXMATCH(LOWER(A91),""beginner|guide|start trading""),""Beginner Tr"&amp;"ading Education"",
REGEXMATCH(LOWER(A91),""interview|journey|talks|wisdom""),""Expert Interview / Trading Insights"",
REGEXMATCH(LOWER(A91),""risk|loss|drawdown|psychology""),""Trading Psychology / Risk Management"",
REGEXMATCH(LOWER(A91),""commodity|crud"&amp;"e|gold|natural gas""),""Commodity Trading Education"",
TRUE,""General Trading Education""
)
"),"General Trading Education")</f>
        <v>General Trading Education</v>
      </c>
    </row>
    <row r="92" ht="15.75" customHeight="1">
      <c r="A92" s="1" t="s">
        <v>464</v>
      </c>
      <c r="B92" s="3" t="s">
        <v>465</v>
      </c>
      <c r="C92" s="1" t="s">
        <v>466</v>
      </c>
      <c r="D92" s="1" t="s">
        <v>467</v>
      </c>
      <c r="E92" s="4">
        <v>45720.0</v>
      </c>
      <c r="F92" s="5">
        <v>0.41458333333333336</v>
      </c>
      <c r="G92" s="1">
        <v>4360.0</v>
      </c>
      <c r="H92" s="1">
        <v>279.0</v>
      </c>
      <c r="I92" s="1">
        <v>12.0</v>
      </c>
      <c r="J92" s="3" t="s">
        <v>468</v>
      </c>
      <c r="K92" s="6">
        <f t="shared" si="1"/>
        <v>6.674311927</v>
      </c>
      <c r="L92" s="7">
        <f t="shared" si="2"/>
        <v>597</v>
      </c>
      <c r="M92" s="8">
        <f t="shared" si="3"/>
        <v>45719</v>
      </c>
      <c r="N92" s="9" t="str">
        <f>IFERROR(__xludf.DUMMYFUNCTION("IFS(
REGEXMATCH(LOWER(A92),""option|options""),""Options Strategy Education"",
REGEXMATCH(LOWER(A92),""bank nifty|nifty|index""),""Index Options"",
REGEXMATCH(LOWER(A92),""algo|api|systematic""),""Algo Trading / API Tutorial"",
REGEXMATCH(LOWER(A92),""gro"&amp;"ww|mtf|margin|pledge""),""Platform / Groww Feature Tutorial"",
REGEXMATCH(LOWER(A92),""candlestick|chart|price action|trendline|rsi|indicator""),""Technical Analysis / Chart Patterns"",
REGEXMATCH(LOWER(A92),""beginner|guide|start trading""),""Beginner Tr"&amp;"ading Education"",
REGEXMATCH(LOWER(A92),""interview|journey|talks|wisdom""),""Expert Interview / Trading Insights"",
REGEXMATCH(LOWER(A92),""risk|loss|drawdown|psychology""),""Trading Psychology / Risk Management"",
REGEXMATCH(LOWER(A92),""commodity|crud"&amp;"e|gold|natural gas""),""Commodity Trading Education"",
TRUE,""General Trading Education""
)
"),"General Trading Education")</f>
        <v>General Trading Education</v>
      </c>
    </row>
    <row r="93" ht="15.75" customHeight="1">
      <c r="A93" s="1" t="s">
        <v>469</v>
      </c>
      <c r="B93" s="3" t="s">
        <v>470</v>
      </c>
      <c r="C93" s="1" t="s">
        <v>471</v>
      </c>
      <c r="D93" s="1" t="s">
        <v>472</v>
      </c>
      <c r="E93" s="4">
        <v>45718.0</v>
      </c>
      <c r="F93" s="12">
        <v>0.05564814814814815</v>
      </c>
      <c r="G93" s="1">
        <v>26737.0</v>
      </c>
      <c r="H93" s="1">
        <v>716.0</v>
      </c>
      <c r="I93" s="1">
        <v>31.0</v>
      </c>
      <c r="J93" s="3" t="s">
        <v>473</v>
      </c>
      <c r="K93" s="6">
        <f t="shared" si="1"/>
        <v>2.793881138</v>
      </c>
      <c r="L93" s="7">
        <f t="shared" si="2"/>
        <v>80.13333333</v>
      </c>
      <c r="M93" s="8">
        <f t="shared" si="3"/>
        <v>45712</v>
      </c>
      <c r="N93" s="9" t="str">
        <f>IFERROR(__xludf.DUMMYFUNCTION("IFS(
REGEXMATCH(LOWER(A93),""option|options""),""Options Strategy Education"",
REGEXMATCH(LOWER(A93),""bank nifty|nifty|index""),""Index Options"",
REGEXMATCH(LOWER(A93),""algo|api|systematic""),""Algo Trading / API Tutorial"",
REGEXMATCH(LOWER(A93),""gro"&amp;"ww|mtf|margin|pledge""),""Platform / Groww Feature Tutorial"",
REGEXMATCH(LOWER(A93),""candlestick|chart|price action|trendline|rsi|indicator""),""Technical Analysis / Chart Patterns"",
REGEXMATCH(LOWER(A93),""beginner|guide|start trading""),""Beginner Tr"&amp;"ading Education"",
REGEXMATCH(LOWER(A93),""interview|journey|talks|wisdom""),""Expert Interview / Trading Insights"",
REGEXMATCH(LOWER(A93),""risk|loss|drawdown|psychology""),""Trading Psychology / Risk Management"",
REGEXMATCH(LOWER(A93),""commodity|crud"&amp;"e|gold|natural gas""),""Commodity Trading Education"",
TRUE,""General Trading Education""
)
"),"General Trading Education")</f>
        <v>General Trading Education</v>
      </c>
    </row>
    <row r="94" ht="15.75" customHeight="1">
      <c r="A94" s="1" t="s">
        <v>474</v>
      </c>
      <c r="B94" s="3" t="s">
        <v>475</v>
      </c>
      <c r="C94" s="1" t="s">
        <v>476</v>
      </c>
      <c r="D94" s="1" t="s">
        <v>477</v>
      </c>
      <c r="E94" s="4">
        <v>45714.0</v>
      </c>
      <c r="F94" s="5">
        <v>0.4847222222222222</v>
      </c>
      <c r="G94" s="1">
        <v>7135.0</v>
      </c>
      <c r="H94" s="1">
        <v>477.0</v>
      </c>
      <c r="I94" s="1">
        <v>28.0</v>
      </c>
      <c r="J94" s="3" t="s">
        <v>478</v>
      </c>
      <c r="K94" s="6">
        <f t="shared" si="1"/>
        <v>7.077785564</v>
      </c>
      <c r="L94" s="7">
        <f t="shared" si="2"/>
        <v>698</v>
      </c>
      <c r="M94" s="8">
        <f t="shared" si="3"/>
        <v>45712</v>
      </c>
      <c r="N94" s="9" t="str">
        <f>IFERROR(__xludf.DUMMYFUNCTION("IFS(
REGEXMATCH(LOWER(A94),""option|options""),""Options Strategy Education"",
REGEXMATCH(LOWER(A94),""bank nifty|nifty|index""),""Index Options"",
REGEXMATCH(LOWER(A94),""algo|api|systematic""),""Algo Trading / API Tutorial"",
REGEXMATCH(LOWER(A94),""gro"&amp;"ww|mtf|margin|pledge""),""Platform / Groww Feature Tutorial"",
REGEXMATCH(LOWER(A94),""candlestick|chart|price action|trendline|rsi|indicator""),""Technical Analysis / Chart Patterns"",
REGEXMATCH(LOWER(A94),""beginner|guide|start trading""),""Beginner Tr"&amp;"ading Education"",
REGEXMATCH(LOWER(A94),""interview|journey|talks|wisdom""),""Expert Interview / Trading Insights"",
REGEXMATCH(LOWER(A94),""risk|loss|drawdown|psychology""),""Trading Psychology / Risk Management"",
REGEXMATCH(LOWER(A94),""commodity|crud"&amp;"e|gold|natural gas""),""Commodity Trading Education"",
TRUE,""General Trading Education""
)
"),"Trading Psychology / Risk Management")</f>
        <v>Trading Psychology / Risk Management</v>
      </c>
    </row>
    <row r="95" ht="15.75" customHeight="1">
      <c r="A95" s="1" t="s">
        <v>479</v>
      </c>
      <c r="B95" s="3" t="s">
        <v>480</v>
      </c>
      <c r="C95" s="1" t="s">
        <v>481</v>
      </c>
      <c r="D95" s="1" t="s">
        <v>482</v>
      </c>
      <c r="E95" s="4">
        <v>45712.0</v>
      </c>
      <c r="F95" s="5">
        <v>0.4125</v>
      </c>
      <c r="G95" s="1">
        <v>4765.0</v>
      </c>
      <c r="H95" s="1">
        <v>323.0</v>
      </c>
      <c r="I95" s="1">
        <v>21.0</v>
      </c>
      <c r="J95" s="3" t="s">
        <v>483</v>
      </c>
      <c r="K95" s="6">
        <f t="shared" si="1"/>
        <v>7.21930745</v>
      </c>
      <c r="L95" s="7">
        <f t="shared" si="2"/>
        <v>594</v>
      </c>
      <c r="M95" s="8">
        <f t="shared" si="3"/>
        <v>45712</v>
      </c>
      <c r="N95" s="9" t="str">
        <f>IFERROR(__xludf.DUMMYFUNCTION("IFS(
REGEXMATCH(LOWER(A95),""option|options""),""Options Strategy Education"",
REGEXMATCH(LOWER(A95),""bank nifty|nifty|index""),""Index Options"",
REGEXMATCH(LOWER(A95),""algo|api|systematic""),""Algo Trading / API Tutorial"",
REGEXMATCH(LOWER(A95),""gro"&amp;"ww|mtf|margin|pledge""),""Platform / Groww Feature Tutorial"",
REGEXMATCH(LOWER(A95),""candlestick|chart|price action|trendline|rsi|indicator""),""Technical Analysis / Chart Patterns"",
REGEXMATCH(LOWER(A95),""beginner|guide|start trading""),""Beginner Tr"&amp;"ading Education"",
REGEXMATCH(LOWER(A95),""interview|journey|talks|wisdom""),""Expert Interview / Trading Insights"",
REGEXMATCH(LOWER(A95),""risk|loss|drawdown|psychology""),""Trading Psychology / Risk Management"",
REGEXMATCH(LOWER(A95),""commodity|crud"&amp;"e|gold|natural gas""),""Commodity Trading Education"",
TRUE,""General Trading Education""
)
"),"General Trading Education")</f>
        <v>General Trading Education</v>
      </c>
    </row>
    <row r="96" ht="15.75" customHeight="1">
      <c r="A96" s="1" t="s">
        <v>484</v>
      </c>
      <c r="B96" s="3" t="s">
        <v>485</v>
      </c>
      <c r="C96" s="1" t="s">
        <v>486</v>
      </c>
      <c r="D96" s="1" t="s">
        <v>487</v>
      </c>
      <c r="E96" s="4">
        <v>45710.0</v>
      </c>
      <c r="F96" s="5">
        <v>0.5777777777777777</v>
      </c>
      <c r="G96" s="1">
        <v>37792.0</v>
      </c>
      <c r="H96" s="1">
        <v>1692.0</v>
      </c>
      <c r="I96" s="1">
        <v>45.0</v>
      </c>
      <c r="J96" s="3" t="s">
        <v>488</v>
      </c>
      <c r="K96" s="6">
        <f t="shared" si="1"/>
        <v>4.596210838</v>
      </c>
      <c r="L96" s="7">
        <f t="shared" si="2"/>
        <v>832</v>
      </c>
      <c r="M96" s="8">
        <f t="shared" si="3"/>
        <v>45705</v>
      </c>
      <c r="N96" s="9" t="str">
        <f>IFERROR(__xludf.DUMMYFUNCTION("IFS(
REGEXMATCH(LOWER(A96),""option|options""),""Options Strategy Education"",
REGEXMATCH(LOWER(A96),""bank nifty|nifty|index""),""Index Options"",
REGEXMATCH(LOWER(A96),""algo|api|systematic""),""Algo Trading / API Tutorial"",
REGEXMATCH(LOWER(A96),""gro"&amp;"ww|mtf|margin|pledge""),""Platform / Groww Feature Tutorial"",
REGEXMATCH(LOWER(A96),""candlestick|chart|price action|trendline|rsi|indicator""),""Technical Analysis / Chart Patterns"",
REGEXMATCH(LOWER(A96),""beginner|guide|start trading""),""Beginner Tr"&amp;"ading Education"",
REGEXMATCH(LOWER(A96),""interview|journey|talks|wisdom""),""Expert Interview / Trading Insights"",
REGEXMATCH(LOWER(A96),""risk|loss|drawdown|psychology""),""Trading Psychology / Risk Management"",
REGEXMATCH(LOWER(A96),""commodity|crud"&amp;"e|gold|natural gas""),""Commodity Trading Education"",
TRUE,""General Trading Education""
)
"),"General Trading Education")</f>
        <v>General Trading Education</v>
      </c>
    </row>
    <row r="97" ht="15.75" customHeight="1">
      <c r="A97" s="1" t="s">
        <v>489</v>
      </c>
      <c r="B97" s="3" t="s">
        <v>490</v>
      </c>
      <c r="C97" s="1" t="s">
        <v>491</v>
      </c>
      <c r="D97" s="1" t="s">
        <v>492</v>
      </c>
      <c r="E97" s="4">
        <v>45708.0</v>
      </c>
      <c r="F97" s="5">
        <v>0.7708333333333334</v>
      </c>
      <c r="G97" s="1">
        <v>4011.0</v>
      </c>
      <c r="H97" s="1">
        <v>256.0</v>
      </c>
      <c r="I97" s="1">
        <v>11.0</v>
      </c>
      <c r="J97" s="3" t="s">
        <v>493</v>
      </c>
      <c r="K97" s="6">
        <f t="shared" si="1"/>
        <v>6.656694091</v>
      </c>
      <c r="L97" s="7">
        <f t="shared" si="2"/>
        <v>1110</v>
      </c>
      <c r="M97" s="8">
        <f t="shared" si="3"/>
        <v>45705</v>
      </c>
      <c r="N97" s="9" t="str">
        <f>IFERROR(__xludf.DUMMYFUNCTION("IFS(
REGEXMATCH(LOWER(A97),""option|options""),""Options Strategy Education"",
REGEXMATCH(LOWER(A97),""bank nifty|nifty|index""),""Index Options"",
REGEXMATCH(LOWER(A97),""algo|api|systematic""),""Algo Trading / API Tutorial"",
REGEXMATCH(LOWER(A97),""gro"&amp;"ww|mtf|margin|pledge""),""Platform / Groww Feature Tutorial"",
REGEXMATCH(LOWER(A97),""candlestick|chart|price action|trendline|rsi|indicator""),""Technical Analysis / Chart Patterns"",
REGEXMATCH(LOWER(A97),""beginner|guide|start trading""),""Beginner Tr"&amp;"ading Education"",
REGEXMATCH(LOWER(A97),""interview|journey|talks|wisdom""),""Expert Interview / Trading Insights"",
REGEXMATCH(LOWER(A97),""risk|loss|drawdown|psychology""),""Trading Psychology / Risk Management"",
REGEXMATCH(LOWER(A97),""commodity|crud"&amp;"e|gold|natural gas""),""Commodity Trading Education"",
TRUE,""General Trading Education""
)
"),"General Trading Education")</f>
        <v>General Trading Education</v>
      </c>
    </row>
    <row r="98" ht="15.75" customHeight="1">
      <c r="A98" s="1" t="s">
        <v>494</v>
      </c>
      <c r="B98" s="3" t="s">
        <v>495</v>
      </c>
      <c r="C98" s="1" t="s">
        <v>496</v>
      </c>
      <c r="D98" s="1" t="s">
        <v>497</v>
      </c>
      <c r="E98" s="4">
        <v>45705.0</v>
      </c>
      <c r="F98" s="5">
        <v>0.4777777777777778</v>
      </c>
      <c r="G98" s="1">
        <v>4000.0</v>
      </c>
      <c r="H98" s="1">
        <v>305.0</v>
      </c>
      <c r="I98" s="1">
        <v>11.0</v>
      </c>
      <c r="J98" s="3" t="s">
        <v>498</v>
      </c>
      <c r="K98" s="6">
        <f t="shared" si="1"/>
        <v>7.9</v>
      </c>
      <c r="L98" s="7">
        <f t="shared" si="2"/>
        <v>688</v>
      </c>
      <c r="M98" s="8">
        <f t="shared" si="3"/>
        <v>45705</v>
      </c>
      <c r="N98" s="9" t="str">
        <f>IFERROR(__xludf.DUMMYFUNCTION("IFS(
REGEXMATCH(LOWER(A98),""option|options""),""Options Strategy Education"",
REGEXMATCH(LOWER(A98),""bank nifty|nifty|index""),""Index Options"",
REGEXMATCH(LOWER(A98),""algo|api|systematic""),""Algo Trading / API Tutorial"",
REGEXMATCH(LOWER(A98),""gro"&amp;"ww|mtf|margin|pledge""),""Platform / Groww Feature Tutorial"",
REGEXMATCH(LOWER(A98),""candlestick|chart|price action|trendline|rsi|indicator""),""Technical Analysis / Chart Patterns"",
REGEXMATCH(LOWER(A98),""beginner|guide|start trading""),""Beginner Tr"&amp;"ading Education"",
REGEXMATCH(LOWER(A98),""interview|journey|talks|wisdom""),""Expert Interview / Trading Insights"",
REGEXMATCH(LOWER(A98),""risk|loss|drawdown|psychology""),""Trading Psychology / Risk Management"",
REGEXMATCH(LOWER(A98),""commodity|crud"&amp;"e|gold|natural gas""),""Commodity Trading Education"",
TRUE,""General Trading Education""
)
"),"General Trading Education")</f>
        <v>General Trading Education</v>
      </c>
    </row>
    <row r="99" ht="15.75" customHeight="1">
      <c r="A99" s="1" t="s">
        <v>499</v>
      </c>
      <c r="B99" s="3" t="s">
        <v>500</v>
      </c>
      <c r="C99" s="1" t="s">
        <v>501</v>
      </c>
      <c r="D99" s="1" t="s">
        <v>502</v>
      </c>
      <c r="E99" s="4">
        <v>45702.0</v>
      </c>
      <c r="F99" s="5">
        <v>0.6694444444444444</v>
      </c>
      <c r="G99" s="1">
        <v>3465.0</v>
      </c>
      <c r="H99" s="1">
        <v>198.0</v>
      </c>
      <c r="I99" s="1">
        <v>12.0</v>
      </c>
      <c r="J99" s="3" t="s">
        <v>503</v>
      </c>
      <c r="K99" s="6">
        <f t="shared" si="1"/>
        <v>6.060606061</v>
      </c>
      <c r="L99" s="7">
        <f t="shared" si="2"/>
        <v>964</v>
      </c>
      <c r="M99" s="8">
        <f t="shared" si="3"/>
        <v>45698</v>
      </c>
      <c r="N99" s="9" t="str">
        <f>IFERROR(__xludf.DUMMYFUNCTION("IFS(
REGEXMATCH(LOWER(A99),""option|options""),""Options Strategy Education"",
REGEXMATCH(LOWER(A99),""bank nifty|nifty|index""),""Index Options"",
REGEXMATCH(LOWER(A99),""algo|api|systematic""),""Algo Trading / API Tutorial"",
REGEXMATCH(LOWER(A99),""gro"&amp;"ww|mtf|margin|pledge""),""Platform / Groww Feature Tutorial"",
REGEXMATCH(LOWER(A99),""candlestick|chart|price action|trendline|rsi|indicator""),""Technical Analysis / Chart Patterns"",
REGEXMATCH(LOWER(A99),""beginner|guide|start trading""),""Beginner Tr"&amp;"ading Education"",
REGEXMATCH(LOWER(A99),""interview|journey|talks|wisdom""),""Expert Interview / Trading Insights"",
REGEXMATCH(LOWER(A99),""risk|loss|drawdown|psychology""),""Trading Psychology / Risk Management"",
REGEXMATCH(LOWER(A99),""commodity|crud"&amp;"e|gold|natural gas""),""Commodity Trading Education"",
TRUE,""General Trading Education""
)
"),"General Trading Education")</f>
        <v>General Trading Education</v>
      </c>
    </row>
    <row r="100" ht="15.75" customHeight="1">
      <c r="A100" s="1" t="s">
        <v>504</v>
      </c>
      <c r="B100" s="3" t="s">
        <v>505</v>
      </c>
      <c r="C100" s="1" t="s">
        <v>506</v>
      </c>
      <c r="D100" s="1" t="s">
        <v>507</v>
      </c>
      <c r="E100" s="4">
        <v>45700.0</v>
      </c>
      <c r="F100" s="5">
        <v>0.5145833333333333</v>
      </c>
      <c r="G100" s="1">
        <v>4926.0</v>
      </c>
      <c r="H100" s="1">
        <v>261.0</v>
      </c>
      <c r="I100" s="1">
        <v>6.0</v>
      </c>
      <c r="J100" s="3" t="s">
        <v>508</v>
      </c>
      <c r="K100" s="6">
        <f t="shared" si="1"/>
        <v>5.420219245</v>
      </c>
      <c r="L100" s="7">
        <f t="shared" si="2"/>
        <v>741</v>
      </c>
      <c r="M100" s="8">
        <f t="shared" si="3"/>
        <v>45698</v>
      </c>
      <c r="N100" s="9" t="str">
        <f>IFERROR(__xludf.DUMMYFUNCTION("IFS(
REGEXMATCH(LOWER(A100),""option|options""),""Options Strategy Education"",
REGEXMATCH(LOWER(A100),""bank nifty|nifty|index""),""Index Options"",
REGEXMATCH(LOWER(A100),""algo|api|systematic""),""Algo Trading / API Tutorial"",
REGEXMATCH(LOWER(A100),"&amp;"""groww|mtf|margin|pledge""),""Platform / Groww Feature Tutorial"",
REGEXMATCH(LOWER(A100),""candlestick|chart|price action|trendline|rsi|indicator""),""Technical Analysis / Chart Patterns"",
REGEXMATCH(LOWER(A100),""beginner|guide|start trading""),""Begi"&amp;"nner Trading Education"",
REGEXMATCH(LOWER(A100),""interview|journey|talks|wisdom""),""Expert Interview / Trading Insights"",
REGEXMATCH(LOWER(A100),""risk|loss|drawdown|psychology""),""Trading Psychology / Risk Management"",
REGEXMATCH(LOWER(A100),""comm"&amp;"odity|crude|gold|natural gas""),""Commodity Trading Education"",
TRUE,""General Trading Education""
)
"),"General Trading Education")</f>
        <v>General Trading Education</v>
      </c>
    </row>
    <row r="101" ht="15.75" customHeight="1">
      <c r="A101" s="1" t="s">
        <v>509</v>
      </c>
      <c r="B101" s="3" t="s">
        <v>510</v>
      </c>
      <c r="C101" s="1" t="s">
        <v>511</v>
      </c>
      <c r="D101" s="1" t="s">
        <v>512</v>
      </c>
      <c r="E101" s="4">
        <v>45698.0</v>
      </c>
      <c r="F101" s="5">
        <v>0.26805555555555555</v>
      </c>
      <c r="G101" s="1">
        <v>4022.0</v>
      </c>
      <c r="H101" s="1">
        <v>213.0</v>
      </c>
      <c r="I101" s="1">
        <v>16.0</v>
      </c>
      <c r="J101" s="3" t="s">
        <v>513</v>
      </c>
      <c r="K101" s="6">
        <f t="shared" si="1"/>
        <v>5.693684734</v>
      </c>
      <c r="L101" s="7">
        <f t="shared" si="2"/>
        <v>386</v>
      </c>
      <c r="M101" s="8">
        <f t="shared" si="3"/>
        <v>45698</v>
      </c>
      <c r="N101" s="9" t="str">
        <f>IFERROR(__xludf.DUMMYFUNCTION("IFS(
REGEXMATCH(LOWER(A101),""option|options""),""Options Strategy Education"",
REGEXMATCH(LOWER(A101),""bank nifty|nifty|index""),""Index Options"",
REGEXMATCH(LOWER(A101),""algo|api|systematic""),""Algo Trading / API Tutorial"",
REGEXMATCH(LOWER(A101),"&amp;"""groww|mtf|margin|pledge""),""Platform / Groww Feature Tutorial"",
REGEXMATCH(LOWER(A101),""candlestick|chart|price action|trendline|rsi|indicator""),""Technical Analysis / Chart Patterns"",
REGEXMATCH(LOWER(A101),""beginner|guide|start trading""),""Begi"&amp;"nner Trading Education"",
REGEXMATCH(LOWER(A101),""interview|journey|talks|wisdom""),""Expert Interview / Trading Insights"",
REGEXMATCH(LOWER(A101),""risk|loss|drawdown|psychology""),""Trading Psychology / Risk Management"",
REGEXMATCH(LOWER(A101),""comm"&amp;"odity|crude|gold|natural gas""),""Commodity Trading Education"",
TRUE,""General Trading Education""
)
"),"General Trading Education")</f>
        <v>General Trading Education</v>
      </c>
    </row>
    <row r="102" ht="15.75" customHeight="1">
      <c r="A102" s="1" t="s">
        <v>514</v>
      </c>
      <c r="B102" s="3" t="s">
        <v>515</v>
      </c>
      <c r="C102" s="1" t="s">
        <v>516</v>
      </c>
      <c r="D102" s="1" t="s">
        <v>517</v>
      </c>
      <c r="E102" s="4">
        <v>45696.0</v>
      </c>
      <c r="F102" s="12">
        <v>0.05618055555555555</v>
      </c>
      <c r="G102" s="1">
        <v>20047.0</v>
      </c>
      <c r="H102" s="1">
        <v>511.0</v>
      </c>
      <c r="I102" s="1">
        <v>41.0</v>
      </c>
      <c r="J102" s="3" t="s">
        <v>518</v>
      </c>
      <c r="K102" s="6">
        <f t="shared" si="1"/>
        <v>2.753529206</v>
      </c>
      <c r="L102" s="7">
        <f t="shared" si="2"/>
        <v>80.9</v>
      </c>
      <c r="M102" s="8">
        <f t="shared" si="3"/>
        <v>45691</v>
      </c>
      <c r="N102" s="9" t="str">
        <f>IFERROR(__xludf.DUMMYFUNCTION("IFS(
REGEXMATCH(LOWER(A102),""option|options""),""Options Strategy Education"",
REGEXMATCH(LOWER(A102),""bank nifty|nifty|index""),""Index Options"",
REGEXMATCH(LOWER(A102),""algo|api|systematic""),""Algo Trading / API Tutorial"",
REGEXMATCH(LOWER(A102),"&amp;"""groww|mtf|margin|pledge""),""Platform / Groww Feature Tutorial"",
REGEXMATCH(LOWER(A102),""candlestick|chart|price action|trendline|rsi|indicator""),""Technical Analysis / Chart Patterns"",
REGEXMATCH(LOWER(A102),""beginner|guide|start trading""),""Begi"&amp;"nner Trading Education"",
REGEXMATCH(LOWER(A102),""interview|journey|talks|wisdom""),""Expert Interview / Trading Insights"",
REGEXMATCH(LOWER(A102),""risk|loss|drawdown|psychology""),""Trading Psychology / Risk Management"",
REGEXMATCH(LOWER(A102),""comm"&amp;"odity|crude|gold|natural gas""),""Commodity Trading Education"",
TRUE,""General Trading Education""
)
"),"Algo Trading / API Tutorial")</f>
        <v>Algo Trading / API Tutorial</v>
      </c>
    </row>
    <row r="103" ht="15.75" customHeight="1">
      <c r="A103" s="1" t="s">
        <v>519</v>
      </c>
      <c r="B103" s="3" t="s">
        <v>520</v>
      </c>
      <c r="C103" s="1" t="s">
        <v>521</v>
      </c>
      <c r="D103" s="1" t="s">
        <v>522</v>
      </c>
      <c r="E103" s="4">
        <v>45693.0</v>
      </c>
      <c r="F103" s="5">
        <v>0.31875</v>
      </c>
      <c r="G103" s="1">
        <v>4961.0</v>
      </c>
      <c r="H103" s="1">
        <v>296.0</v>
      </c>
      <c r="I103" s="1">
        <v>15.0</v>
      </c>
      <c r="J103" s="3" t="s">
        <v>523</v>
      </c>
      <c r="K103" s="6">
        <f t="shared" si="1"/>
        <v>6.2688974</v>
      </c>
      <c r="L103" s="7">
        <f t="shared" si="2"/>
        <v>459</v>
      </c>
      <c r="M103" s="8">
        <f t="shared" si="3"/>
        <v>45691</v>
      </c>
      <c r="N103" s="9" t="str">
        <f>IFERROR(__xludf.DUMMYFUNCTION("IFS(
REGEXMATCH(LOWER(A103),""option|options""),""Options Strategy Education"",
REGEXMATCH(LOWER(A103),""bank nifty|nifty|index""),""Index Options"",
REGEXMATCH(LOWER(A103),""algo|api|systematic""),""Algo Trading / API Tutorial"",
REGEXMATCH(LOWER(A103),"&amp;"""groww|mtf|margin|pledge""),""Platform / Groww Feature Tutorial"",
REGEXMATCH(LOWER(A103),""candlestick|chart|price action|trendline|rsi|indicator""),""Technical Analysis / Chart Patterns"",
REGEXMATCH(LOWER(A103),""beginner|guide|start trading""),""Begi"&amp;"nner Trading Education"",
REGEXMATCH(LOWER(A103),""interview|journey|talks|wisdom""),""Expert Interview / Trading Insights"",
REGEXMATCH(LOWER(A103),""risk|loss|drawdown|psychology""),""Trading Psychology / Risk Management"",
REGEXMATCH(LOWER(A103),""comm"&amp;"odity|crude|gold|natural gas""),""Commodity Trading Education"",
TRUE,""General Trading Education""
)
"),"General Trading Education")</f>
        <v>General Trading Education</v>
      </c>
    </row>
    <row r="104" ht="15.75" customHeight="1">
      <c r="A104" s="1" t="s">
        <v>524</v>
      </c>
      <c r="B104" s="3" t="s">
        <v>525</v>
      </c>
      <c r="C104" s="1" t="s">
        <v>526</v>
      </c>
      <c r="D104" s="1" t="s">
        <v>527</v>
      </c>
      <c r="E104" s="4">
        <v>45691.0</v>
      </c>
      <c r="F104" s="5">
        <v>0.4479166666666667</v>
      </c>
      <c r="G104" s="1">
        <v>15661.0</v>
      </c>
      <c r="H104" s="1">
        <v>686.0</v>
      </c>
      <c r="I104" s="1">
        <v>27.0</v>
      </c>
      <c r="J104" s="3" t="s">
        <v>528</v>
      </c>
      <c r="K104" s="6">
        <f t="shared" si="1"/>
        <v>4.552710555</v>
      </c>
      <c r="L104" s="7">
        <f t="shared" si="2"/>
        <v>645</v>
      </c>
      <c r="M104" s="8">
        <f t="shared" si="3"/>
        <v>45691</v>
      </c>
      <c r="N104" s="9" t="str">
        <f>IFERROR(__xludf.DUMMYFUNCTION("IFS(
REGEXMATCH(LOWER(A104),""option|options""),""Options Strategy Education"",
REGEXMATCH(LOWER(A104),""bank nifty|nifty|index""),""Index Options"",
REGEXMATCH(LOWER(A104),""algo|api|systematic""),""Algo Trading / API Tutorial"",
REGEXMATCH(LOWER(A104),"&amp;"""groww|mtf|margin|pledge""),""Platform / Groww Feature Tutorial"",
REGEXMATCH(LOWER(A104),""candlestick|chart|price action|trendline|rsi|indicator""),""Technical Analysis / Chart Patterns"",
REGEXMATCH(LOWER(A104),""beginner|guide|start trading""),""Begi"&amp;"nner Trading Education"",
REGEXMATCH(LOWER(A104),""interview|journey|talks|wisdom""),""Expert Interview / Trading Insights"",
REGEXMATCH(LOWER(A104),""risk|loss|drawdown|psychology""),""Trading Psychology / Risk Management"",
REGEXMATCH(LOWER(A104),""comm"&amp;"odity|crude|gold|natural gas""),""Commodity Trading Education"",
TRUE,""General Trading Education""
)
"),"General Trading Education")</f>
        <v>General Trading Education</v>
      </c>
    </row>
    <row r="105" ht="15.75" customHeight="1">
      <c r="A105" s="1" t="s">
        <v>529</v>
      </c>
      <c r="B105" s="3" t="s">
        <v>530</v>
      </c>
      <c r="C105" s="1" t="s">
        <v>531</v>
      </c>
      <c r="D105" s="1" t="s">
        <v>532</v>
      </c>
      <c r="E105" s="4">
        <v>45689.0</v>
      </c>
      <c r="F105" s="5">
        <v>0.44375</v>
      </c>
      <c r="G105" s="1">
        <v>4145.0</v>
      </c>
      <c r="H105" s="1">
        <v>225.0</v>
      </c>
      <c r="I105" s="1">
        <v>9.0</v>
      </c>
      <c r="J105" s="3" t="s">
        <v>533</v>
      </c>
      <c r="K105" s="6">
        <f t="shared" si="1"/>
        <v>5.64535585</v>
      </c>
      <c r="L105" s="7">
        <f t="shared" si="2"/>
        <v>639</v>
      </c>
      <c r="M105" s="8">
        <f t="shared" si="3"/>
        <v>45684</v>
      </c>
      <c r="N105" s="9" t="str">
        <f>IFERROR(__xludf.DUMMYFUNCTION("IFS(
REGEXMATCH(LOWER(A105),""option|options""),""Options Strategy Education"",
REGEXMATCH(LOWER(A105),""bank nifty|nifty|index""),""Index Options"",
REGEXMATCH(LOWER(A105),""algo|api|systematic""),""Algo Trading / API Tutorial"",
REGEXMATCH(LOWER(A105),"&amp;"""groww|mtf|margin|pledge""),""Platform / Groww Feature Tutorial"",
REGEXMATCH(LOWER(A105),""candlestick|chart|price action|trendline|rsi|indicator""),""Technical Analysis / Chart Patterns"",
REGEXMATCH(LOWER(A105),""beginner|guide|start trading""),""Begi"&amp;"nner Trading Education"",
REGEXMATCH(LOWER(A105),""interview|journey|talks|wisdom""),""Expert Interview / Trading Insights"",
REGEXMATCH(LOWER(A105),""risk|loss|drawdown|psychology""),""Trading Psychology / Risk Management"",
REGEXMATCH(LOWER(A105),""comm"&amp;"odity|crude|gold|natural gas""),""Commodity Trading Education"",
TRUE,""General Trading Education""
)
"),"General Trading Education")</f>
        <v>General Trading Education</v>
      </c>
    </row>
    <row r="106" ht="15.75" customHeight="1">
      <c r="A106" s="1" t="s">
        <v>534</v>
      </c>
      <c r="B106" s="3" t="s">
        <v>535</v>
      </c>
      <c r="C106" s="1" t="s">
        <v>536</v>
      </c>
      <c r="D106" s="1" t="s">
        <v>537</v>
      </c>
      <c r="E106" s="4">
        <v>45685.0</v>
      </c>
      <c r="F106" s="5">
        <v>0.42291666666666666</v>
      </c>
      <c r="G106" s="1">
        <v>6910.0</v>
      </c>
      <c r="H106" s="1">
        <v>233.0</v>
      </c>
      <c r="I106" s="1">
        <v>10.0</v>
      </c>
      <c r="J106" s="3" t="s">
        <v>538</v>
      </c>
      <c r="K106" s="6">
        <f t="shared" si="1"/>
        <v>3.516642547</v>
      </c>
      <c r="L106" s="7">
        <f t="shared" si="2"/>
        <v>609</v>
      </c>
      <c r="M106" s="8">
        <f t="shared" si="3"/>
        <v>45684</v>
      </c>
      <c r="N106" s="9" t="str">
        <f>IFERROR(__xludf.DUMMYFUNCTION("IFS(
REGEXMATCH(LOWER(A106),""option|options""),""Options Strategy Education"",
REGEXMATCH(LOWER(A106),""bank nifty|nifty|index""),""Index Options"",
REGEXMATCH(LOWER(A106),""algo|api|systematic""),""Algo Trading / API Tutorial"",
REGEXMATCH(LOWER(A106),"&amp;"""groww|mtf|margin|pledge""),""Platform / Groww Feature Tutorial"",
REGEXMATCH(LOWER(A106),""candlestick|chart|price action|trendline|rsi|indicator""),""Technical Analysis / Chart Patterns"",
REGEXMATCH(LOWER(A106),""beginner|guide|start trading""),""Begi"&amp;"nner Trading Education"",
REGEXMATCH(LOWER(A106),""interview|journey|talks|wisdom""),""Expert Interview / Trading Insights"",
REGEXMATCH(LOWER(A106),""risk|loss|drawdown|psychology""),""Trading Psychology / Risk Management"",
REGEXMATCH(LOWER(A106),""comm"&amp;"odity|crude|gold|natural gas""),""Commodity Trading Education"",
TRUE,""General Trading Education""
)
"),"General Trading Education")</f>
        <v>General Trading Education</v>
      </c>
    </row>
    <row r="107" ht="15.75" customHeight="1">
      <c r="A107" s="1" t="s">
        <v>539</v>
      </c>
      <c r="B107" s="3" t="s">
        <v>540</v>
      </c>
      <c r="C107" s="1" t="s">
        <v>541</v>
      </c>
      <c r="D107" s="1" t="s">
        <v>542</v>
      </c>
      <c r="E107" s="4">
        <v>45682.0</v>
      </c>
      <c r="F107" s="10">
        <v>2.1569444444444446</v>
      </c>
      <c r="G107" s="1">
        <v>36731.0</v>
      </c>
      <c r="H107" s="1">
        <v>885.0</v>
      </c>
      <c r="I107" s="1">
        <v>26.0</v>
      </c>
      <c r="J107" s="3" t="s">
        <v>543</v>
      </c>
      <c r="K107" s="6">
        <f t="shared" si="1"/>
        <v>2.480193842</v>
      </c>
      <c r="L107" s="7">
        <f t="shared" si="2"/>
        <v>3106</v>
      </c>
      <c r="M107" s="8">
        <f t="shared" si="3"/>
        <v>45677</v>
      </c>
      <c r="N107" s="9" t="str">
        <f>IFERROR(__xludf.DUMMYFUNCTION("IFS(
REGEXMATCH(LOWER(A107),""option|options""),""Options Strategy Education"",
REGEXMATCH(LOWER(A107),""bank nifty|nifty|index""),""Index Options"",
REGEXMATCH(LOWER(A107),""algo|api|systematic""),""Algo Trading / API Tutorial"",
REGEXMATCH(LOWER(A107),"&amp;"""groww|mtf|margin|pledge""),""Platform / Groww Feature Tutorial"",
REGEXMATCH(LOWER(A107),""candlestick|chart|price action|trendline|rsi|indicator""),""Technical Analysis / Chart Patterns"",
REGEXMATCH(LOWER(A107),""beginner|guide|start trading""),""Begi"&amp;"nner Trading Education"",
REGEXMATCH(LOWER(A107),""interview|journey|talks|wisdom""),""Expert Interview / Trading Insights"",
REGEXMATCH(LOWER(A107),""risk|loss|drawdown|psychology""),""Trading Psychology / Risk Management"",
REGEXMATCH(LOWER(A107),""comm"&amp;"odity|crude|gold|natural gas""),""Commodity Trading Education"",
TRUE,""General Trading Education""
)
"),"Options Strategy Education")</f>
        <v>Options Strategy Education</v>
      </c>
    </row>
    <row r="108" ht="15.75" customHeight="1">
      <c r="A108" s="1" t="s">
        <v>544</v>
      </c>
      <c r="B108" s="3" t="s">
        <v>545</v>
      </c>
      <c r="C108" s="1" t="s">
        <v>546</v>
      </c>
      <c r="D108" s="1" t="s">
        <v>547</v>
      </c>
      <c r="E108" s="4">
        <v>45680.0</v>
      </c>
      <c r="F108" s="5">
        <v>0.4444444444444444</v>
      </c>
      <c r="G108" s="1">
        <v>2671.0</v>
      </c>
      <c r="H108" s="1">
        <v>133.0</v>
      </c>
      <c r="I108" s="1">
        <v>2.0</v>
      </c>
      <c r="J108" s="3" t="s">
        <v>548</v>
      </c>
      <c r="K108" s="6">
        <f t="shared" si="1"/>
        <v>5.054286784</v>
      </c>
      <c r="L108" s="7">
        <f t="shared" si="2"/>
        <v>640</v>
      </c>
      <c r="M108" s="8">
        <f t="shared" si="3"/>
        <v>45677</v>
      </c>
      <c r="N108" s="9" t="str">
        <f>IFERROR(__xludf.DUMMYFUNCTION("IFS(
REGEXMATCH(LOWER(A108),""option|options""),""Options Strategy Education"",
REGEXMATCH(LOWER(A108),""bank nifty|nifty|index""),""Index Options"",
REGEXMATCH(LOWER(A108),""algo|api|systematic""),""Algo Trading / API Tutorial"",
REGEXMATCH(LOWER(A108),"&amp;"""groww|mtf|margin|pledge""),""Platform / Groww Feature Tutorial"",
REGEXMATCH(LOWER(A108),""candlestick|chart|price action|trendline|rsi|indicator""),""Technical Analysis / Chart Patterns"",
REGEXMATCH(LOWER(A108),""beginner|guide|start trading""),""Begi"&amp;"nner Trading Education"",
REGEXMATCH(LOWER(A108),""interview|journey|talks|wisdom""),""Expert Interview / Trading Insights"",
REGEXMATCH(LOWER(A108),""risk|loss|drawdown|psychology""),""Trading Psychology / Risk Management"",
REGEXMATCH(LOWER(A108),""comm"&amp;"odity|crude|gold|natural gas""),""Commodity Trading Education"",
TRUE,""General Trading Education""
)
"),"General Trading Education")</f>
        <v>General Trading Education</v>
      </c>
    </row>
    <row r="109" ht="15.75" customHeight="1">
      <c r="A109" s="1" t="s">
        <v>549</v>
      </c>
      <c r="B109" s="3" t="s">
        <v>550</v>
      </c>
      <c r="C109" s="1" t="s">
        <v>551</v>
      </c>
      <c r="D109" s="1" t="s">
        <v>552</v>
      </c>
      <c r="E109" s="4">
        <v>45678.0</v>
      </c>
      <c r="F109" s="5">
        <v>0.6458333333333334</v>
      </c>
      <c r="G109" s="1">
        <v>4533.0</v>
      </c>
      <c r="H109" s="1">
        <v>211.0</v>
      </c>
      <c r="I109" s="1">
        <v>16.0</v>
      </c>
      <c r="J109" s="3" t="s">
        <v>553</v>
      </c>
      <c r="K109" s="6">
        <f t="shared" si="1"/>
        <v>5.007721156</v>
      </c>
      <c r="L109" s="7">
        <f t="shared" si="2"/>
        <v>930</v>
      </c>
      <c r="M109" s="8">
        <f t="shared" si="3"/>
        <v>45677</v>
      </c>
      <c r="N109" s="9" t="str">
        <f>IFERROR(__xludf.DUMMYFUNCTION("IFS(
REGEXMATCH(LOWER(A109),""option|options""),""Options Strategy Education"",
REGEXMATCH(LOWER(A109),""bank nifty|nifty|index""),""Index Options"",
REGEXMATCH(LOWER(A109),""algo|api|systematic""),""Algo Trading / API Tutorial"",
REGEXMATCH(LOWER(A109),"&amp;"""groww|mtf|margin|pledge""),""Platform / Groww Feature Tutorial"",
REGEXMATCH(LOWER(A109),""candlestick|chart|price action|trendline|rsi|indicator""),""Technical Analysis / Chart Patterns"",
REGEXMATCH(LOWER(A109),""beginner|guide|start trading""),""Begi"&amp;"nner Trading Education"",
REGEXMATCH(LOWER(A109),""interview|journey|talks|wisdom""),""Expert Interview / Trading Insights"",
REGEXMATCH(LOWER(A109),""risk|loss|drawdown|psychology""),""Trading Psychology / Risk Management"",
REGEXMATCH(LOWER(A109),""comm"&amp;"odity|crude|gold|natural gas""),""Commodity Trading Education"",
TRUE,""General Trading Education""
)
"),"Options Strategy Education")</f>
        <v>Options Strategy Education</v>
      </c>
    </row>
    <row r="110" ht="15.75" customHeight="1">
      <c r="A110" s="1" t="s">
        <v>554</v>
      </c>
      <c r="B110" s="3" t="s">
        <v>555</v>
      </c>
      <c r="C110" s="1" t="s">
        <v>556</v>
      </c>
      <c r="D110" s="1" t="s">
        <v>557</v>
      </c>
      <c r="E110" s="4">
        <v>45675.0</v>
      </c>
      <c r="F110" s="5">
        <v>0.7666666666666667</v>
      </c>
      <c r="G110" s="1">
        <v>69149.0</v>
      </c>
      <c r="H110" s="1">
        <v>2961.0</v>
      </c>
      <c r="I110" s="1">
        <v>111.0</v>
      </c>
      <c r="J110" s="3" t="s">
        <v>558</v>
      </c>
      <c r="K110" s="6">
        <f t="shared" si="1"/>
        <v>4.442580515</v>
      </c>
      <c r="L110" s="7">
        <f t="shared" si="2"/>
        <v>1104</v>
      </c>
      <c r="M110" s="8">
        <f t="shared" si="3"/>
        <v>45670</v>
      </c>
      <c r="N110" s="9" t="str">
        <f>IFERROR(__xludf.DUMMYFUNCTION("IFS(
REGEXMATCH(LOWER(A110),""option|options""),""Options Strategy Education"",
REGEXMATCH(LOWER(A110),""bank nifty|nifty|index""),""Index Options"",
REGEXMATCH(LOWER(A110),""algo|api|systematic""),""Algo Trading / API Tutorial"",
REGEXMATCH(LOWER(A110),"&amp;"""groww|mtf|margin|pledge""),""Platform / Groww Feature Tutorial"",
REGEXMATCH(LOWER(A110),""candlestick|chart|price action|trendline|rsi|indicator""),""Technical Analysis / Chart Patterns"",
REGEXMATCH(LOWER(A110),""beginner|guide|start trading""),""Begi"&amp;"nner Trading Education"",
REGEXMATCH(LOWER(A110),""interview|journey|talks|wisdom""),""Expert Interview / Trading Insights"",
REGEXMATCH(LOWER(A110),""risk|loss|drawdown|psychology""),""Trading Psychology / Risk Management"",
REGEXMATCH(LOWER(A110),""comm"&amp;"odity|crude|gold|natural gas""),""Commodity Trading Education"",
TRUE,""General Trading Education""
)
"),"General Trading Education")</f>
        <v>General Trading Education</v>
      </c>
    </row>
    <row r="111" ht="15.75" customHeight="1">
      <c r="A111" s="1" t="s">
        <v>559</v>
      </c>
      <c r="B111" s="3" t="s">
        <v>560</v>
      </c>
      <c r="C111" s="1" t="s">
        <v>561</v>
      </c>
      <c r="D111" s="1" t="s">
        <v>562</v>
      </c>
      <c r="E111" s="4">
        <v>45673.0</v>
      </c>
      <c r="F111" s="5">
        <v>0.46458333333333335</v>
      </c>
      <c r="G111" s="1">
        <v>6418.0</v>
      </c>
      <c r="H111" s="1">
        <v>328.0</v>
      </c>
      <c r="I111" s="1">
        <v>21.0</v>
      </c>
      <c r="J111" s="3" t="s">
        <v>563</v>
      </c>
      <c r="K111" s="6">
        <f t="shared" si="1"/>
        <v>5.4378311</v>
      </c>
      <c r="L111" s="7">
        <f t="shared" si="2"/>
        <v>669</v>
      </c>
      <c r="M111" s="8">
        <f t="shared" si="3"/>
        <v>45670</v>
      </c>
      <c r="N111" s="9" t="str">
        <f>IFERROR(__xludf.DUMMYFUNCTION("IFS(
REGEXMATCH(LOWER(A111),""option|options""),""Options Strategy Education"",
REGEXMATCH(LOWER(A111),""bank nifty|nifty|index""),""Index Options"",
REGEXMATCH(LOWER(A111),""algo|api|systematic""),""Algo Trading / API Tutorial"",
REGEXMATCH(LOWER(A111),"&amp;"""groww|mtf|margin|pledge""),""Platform / Groww Feature Tutorial"",
REGEXMATCH(LOWER(A111),""candlestick|chart|price action|trendline|rsi|indicator""),""Technical Analysis / Chart Patterns"",
REGEXMATCH(LOWER(A111),""beginner|guide|start trading""),""Begi"&amp;"nner Trading Education"",
REGEXMATCH(LOWER(A111),""interview|journey|talks|wisdom""),""Expert Interview / Trading Insights"",
REGEXMATCH(LOWER(A111),""risk|loss|drawdown|psychology""),""Trading Psychology / Risk Management"",
REGEXMATCH(LOWER(A111),""comm"&amp;"odity|crude|gold|natural gas""),""Commodity Trading Education"",
TRUE,""General Trading Education""
)
"),"Technical Analysis / Chart Patterns")</f>
        <v>Technical Analysis / Chart Patterns</v>
      </c>
    </row>
    <row r="112" ht="15.75" customHeight="1">
      <c r="A112" s="1" t="s">
        <v>564</v>
      </c>
      <c r="B112" s="3" t="s">
        <v>565</v>
      </c>
      <c r="C112" s="1" t="s">
        <v>566</v>
      </c>
      <c r="D112" s="1" t="s">
        <v>567</v>
      </c>
      <c r="E112" s="4">
        <v>45671.0</v>
      </c>
      <c r="F112" s="5">
        <v>0.58125</v>
      </c>
      <c r="G112" s="1">
        <v>11688.0</v>
      </c>
      <c r="H112" s="1">
        <v>497.0</v>
      </c>
      <c r="I112" s="1">
        <v>30.0</v>
      </c>
      <c r="J112" s="3" t="s">
        <v>568</v>
      </c>
      <c r="K112" s="6">
        <f t="shared" si="1"/>
        <v>4.508898015</v>
      </c>
      <c r="L112" s="7">
        <f t="shared" si="2"/>
        <v>837</v>
      </c>
      <c r="M112" s="8">
        <f t="shared" si="3"/>
        <v>45670</v>
      </c>
      <c r="N112" s="9" t="str">
        <f>IFERROR(__xludf.DUMMYFUNCTION("IFS(
REGEXMATCH(LOWER(A112),""option|options""),""Options Strategy Education"",
REGEXMATCH(LOWER(A112),""bank nifty|nifty|index""),""Index Options"",
REGEXMATCH(LOWER(A112),""algo|api|systematic""),""Algo Trading / API Tutorial"",
REGEXMATCH(LOWER(A112),"&amp;"""groww|mtf|margin|pledge""),""Platform / Groww Feature Tutorial"",
REGEXMATCH(LOWER(A112),""candlestick|chart|price action|trendline|rsi|indicator""),""Technical Analysis / Chart Patterns"",
REGEXMATCH(LOWER(A112),""beginner|guide|start trading""),""Begi"&amp;"nner Trading Education"",
REGEXMATCH(LOWER(A112),""interview|journey|talks|wisdom""),""Expert Interview / Trading Insights"",
REGEXMATCH(LOWER(A112),""risk|loss|drawdown|psychology""),""Trading Psychology / Risk Management"",
REGEXMATCH(LOWER(A112),""comm"&amp;"odity|crude|gold|natural gas""),""Commodity Trading Education"",
TRUE,""General Trading Education""
)
"),"Options Strategy Education")</f>
        <v>Options Strategy Education</v>
      </c>
    </row>
    <row r="113" ht="15.75" customHeight="1">
      <c r="A113" s="1" t="s">
        <v>569</v>
      </c>
      <c r="B113" s="3" t="s">
        <v>570</v>
      </c>
      <c r="C113" s="1" t="s">
        <v>571</v>
      </c>
      <c r="D113" s="1" t="s">
        <v>572</v>
      </c>
      <c r="E113" s="4">
        <v>45668.0</v>
      </c>
      <c r="F113" s="10">
        <v>1.5027777777777778</v>
      </c>
      <c r="G113" s="1">
        <v>18040.0</v>
      </c>
      <c r="H113" s="1">
        <v>443.0</v>
      </c>
      <c r="I113" s="1">
        <v>33.0</v>
      </c>
      <c r="J113" s="3" t="s">
        <v>573</v>
      </c>
      <c r="K113" s="6">
        <f t="shared" si="1"/>
        <v>2.638580931</v>
      </c>
      <c r="L113" s="7">
        <f t="shared" si="2"/>
        <v>2164</v>
      </c>
      <c r="M113" s="8">
        <f t="shared" si="3"/>
        <v>45663</v>
      </c>
      <c r="N113" s="9" t="str">
        <f>IFERROR(__xludf.DUMMYFUNCTION("IFS(
REGEXMATCH(LOWER(A113),""option|options""),""Options Strategy Education"",
REGEXMATCH(LOWER(A113),""bank nifty|nifty|index""),""Index Options"",
REGEXMATCH(LOWER(A113),""algo|api|systematic""),""Algo Trading / API Tutorial"",
REGEXMATCH(LOWER(A113),"&amp;"""groww|mtf|margin|pledge""),""Platform / Groww Feature Tutorial"",
REGEXMATCH(LOWER(A113),""candlestick|chart|price action|trendline|rsi|indicator""),""Technical Analysis / Chart Patterns"",
REGEXMATCH(LOWER(A113),""beginner|guide|start trading""),""Begi"&amp;"nner Trading Education"",
REGEXMATCH(LOWER(A113),""interview|journey|talks|wisdom""),""Expert Interview / Trading Insights"",
REGEXMATCH(LOWER(A113),""risk|loss|drawdown|psychology""),""Trading Psychology / Risk Management"",
REGEXMATCH(LOWER(A113),""comm"&amp;"odity|crude|gold|natural gas""),""Commodity Trading Education"",
TRUE,""General Trading Education""
)
"),"Expert Interview / Trading Insights")</f>
        <v>Expert Interview / Trading Insights</v>
      </c>
    </row>
    <row r="114" ht="15.75" customHeight="1">
      <c r="A114" s="1" t="s">
        <v>574</v>
      </c>
      <c r="B114" s="3" t="s">
        <v>575</v>
      </c>
      <c r="C114" s="1" t="s">
        <v>576</v>
      </c>
      <c r="D114" s="1" t="s">
        <v>577</v>
      </c>
      <c r="E114" s="4">
        <v>45666.0</v>
      </c>
      <c r="F114" s="5">
        <v>0.5097222222222222</v>
      </c>
      <c r="G114" s="1">
        <v>20548.0</v>
      </c>
      <c r="H114" s="1">
        <v>962.0</v>
      </c>
      <c r="I114" s="1">
        <v>43.0</v>
      </c>
      <c r="J114" s="3" t="s">
        <v>578</v>
      </c>
      <c r="K114" s="6">
        <f t="shared" si="1"/>
        <v>4.890986957</v>
      </c>
      <c r="L114" s="7">
        <f t="shared" si="2"/>
        <v>734</v>
      </c>
      <c r="M114" s="8">
        <f t="shared" si="3"/>
        <v>45663</v>
      </c>
      <c r="N114" s="9" t="str">
        <f>IFERROR(__xludf.DUMMYFUNCTION("IFS(
REGEXMATCH(LOWER(A114),""option|options""),""Options Strategy Education"",
REGEXMATCH(LOWER(A114),""bank nifty|nifty|index""),""Index Options"",
REGEXMATCH(LOWER(A114),""algo|api|systematic""),""Algo Trading / API Tutorial"",
REGEXMATCH(LOWER(A114),"&amp;"""groww|mtf|margin|pledge""),""Platform / Groww Feature Tutorial"",
REGEXMATCH(LOWER(A114),""candlestick|chart|price action|trendline|rsi|indicator""),""Technical Analysis / Chart Patterns"",
REGEXMATCH(LOWER(A114),""beginner|guide|start trading""),""Begi"&amp;"nner Trading Education"",
REGEXMATCH(LOWER(A114),""interview|journey|talks|wisdom""),""Expert Interview / Trading Insights"",
REGEXMATCH(LOWER(A114),""risk|loss|drawdown|psychology""),""Trading Psychology / Risk Management"",
REGEXMATCH(LOWER(A114),""comm"&amp;"odity|crude|gold|natural gas""),""Commodity Trading Education"",
TRUE,""General Trading Education""
)
"),"General Trading Education")</f>
        <v>General Trading Education</v>
      </c>
    </row>
    <row r="115" ht="15.75" customHeight="1">
      <c r="A115" s="1" t="s">
        <v>579</v>
      </c>
      <c r="B115" s="3" t="s">
        <v>580</v>
      </c>
      <c r="C115" s="1" t="s">
        <v>581</v>
      </c>
      <c r="D115" s="1" t="s">
        <v>582</v>
      </c>
      <c r="E115" s="4">
        <v>45662.0</v>
      </c>
      <c r="F115" s="5">
        <v>0.7020833333333333</v>
      </c>
      <c r="G115" s="1">
        <v>151329.0</v>
      </c>
      <c r="H115" s="1">
        <v>5441.0</v>
      </c>
      <c r="I115" s="1">
        <v>170.0</v>
      </c>
      <c r="J115" s="3" t="s">
        <v>583</v>
      </c>
      <c r="K115" s="6">
        <f t="shared" si="1"/>
        <v>3.707815422</v>
      </c>
      <c r="L115" s="7">
        <f t="shared" si="2"/>
        <v>1011</v>
      </c>
      <c r="M115" s="8">
        <f t="shared" si="3"/>
        <v>45656</v>
      </c>
      <c r="N115" s="9" t="str">
        <f>IFERROR(__xludf.DUMMYFUNCTION("IFS(
REGEXMATCH(LOWER(A115),""option|options""),""Options Strategy Education"",
REGEXMATCH(LOWER(A115),""bank nifty|nifty|index""),""Index Options"",
REGEXMATCH(LOWER(A115),""algo|api|systematic""),""Algo Trading / API Tutorial"",
REGEXMATCH(LOWER(A115),"&amp;"""groww|mtf|margin|pledge""),""Platform / Groww Feature Tutorial"",
REGEXMATCH(LOWER(A115),""candlestick|chart|price action|trendline|rsi|indicator""),""Technical Analysis / Chart Patterns"",
REGEXMATCH(LOWER(A115),""beginner|guide|start trading""),""Begi"&amp;"nner Trading Education"",
REGEXMATCH(LOWER(A115),""interview|journey|talks|wisdom""),""Expert Interview / Trading Insights"",
REGEXMATCH(LOWER(A115),""risk|loss|drawdown|psychology""),""Trading Psychology / Risk Management"",
REGEXMATCH(LOWER(A115),""comm"&amp;"odity|crude|gold|natural gas""),""Commodity Trading Education"",
TRUE,""General Trading Education""
)
"),"General Trading Education")</f>
        <v>General Trading Education</v>
      </c>
    </row>
    <row r="116" ht="15.75" customHeight="1">
      <c r="A116" s="1" t="s">
        <v>584</v>
      </c>
      <c r="B116" s="3" t="s">
        <v>585</v>
      </c>
      <c r="C116" s="1" t="s">
        <v>586</v>
      </c>
      <c r="D116" s="1" t="s">
        <v>587</v>
      </c>
      <c r="E116" s="4">
        <v>45660.0</v>
      </c>
      <c r="F116" s="5">
        <v>0.34652777777777777</v>
      </c>
      <c r="G116" s="1">
        <v>7870.0</v>
      </c>
      <c r="H116" s="1">
        <v>440.0</v>
      </c>
      <c r="I116" s="1">
        <v>28.0</v>
      </c>
      <c r="J116" s="3" t="s">
        <v>588</v>
      </c>
      <c r="K116" s="6">
        <f t="shared" si="1"/>
        <v>5.946632783</v>
      </c>
      <c r="L116" s="7">
        <f t="shared" si="2"/>
        <v>499</v>
      </c>
      <c r="M116" s="8">
        <f t="shared" si="3"/>
        <v>45656</v>
      </c>
      <c r="N116" s="9" t="str">
        <f>IFERROR(__xludf.DUMMYFUNCTION("IFS(
REGEXMATCH(LOWER(A116),""option|options""),""Options Strategy Education"",
REGEXMATCH(LOWER(A116),""bank nifty|nifty|index""),""Index Options"",
REGEXMATCH(LOWER(A116),""algo|api|systematic""),""Algo Trading / API Tutorial"",
REGEXMATCH(LOWER(A116),"&amp;"""groww|mtf|margin|pledge""),""Platform / Groww Feature Tutorial"",
REGEXMATCH(LOWER(A116),""candlestick|chart|price action|trendline|rsi|indicator""),""Technical Analysis / Chart Patterns"",
REGEXMATCH(LOWER(A116),""beginner|guide|start trading""),""Begi"&amp;"nner Trading Education"",
REGEXMATCH(LOWER(A116),""interview|journey|talks|wisdom""),""Expert Interview / Trading Insights"",
REGEXMATCH(LOWER(A116),""risk|loss|drawdown|psychology""),""Trading Psychology / Risk Management"",
REGEXMATCH(LOWER(A116),""comm"&amp;"odity|crude|gold|natural gas""),""Commodity Trading Education"",
TRUE,""General Trading Education""
)
"),"General Trading Education")</f>
        <v>General Trading Education</v>
      </c>
    </row>
    <row r="117" ht="15.75" customHeight="1">
      <c r="A117" s="1" t="s">
        <v>589</v>
      </c>
      <c r="B117" s="3" t="s">
        <v>590</v>
      </c>
      <c r="C117" s="1" t="s">
        <v>591</v>
      </c>
      <c r="D117" s="1" t="s">
        <v>592</v>
      </c>
      <c r="E117" s="4">
        <v>45657.0</v>
      </c>
      <c r="F117" s="5">
        <v>0.5604166666666667</v>
      </c>
      <c r="G117" s="1">
        <v>26252.0</v>
      </c>
      <c r="H117" s="1">
        <v>766.0</v>
      </c>
      <c r="I117" s="1">
        <v>37.0</v>
      </c>
      <c r="J117" s="3" t="s">
        <v>593</v>
      </c>
      <c r="K117" s="6">
        <f t="shared" si="1"/>
        <v>3.058814567</v>
      </c>
      <c r="L117" s="7">
        <f t="shared" si="2"/>
        <v>807</v>
      </c>
      <c r="M117" s="8">
        <f t="shared" si="3"/>
        <v>45656</v>
      </c>
      <c r="N117" s="9" t="str">
        <f>IFERROR(__xludf.DUMMYFUNCTION("IFS(
REGEXMATCH(LOWER(A117),""option|options""),""Options Strategy Education"",
REGEXMATCH(LOWER(A117),""bank nifty|nifty|index""),""Index Options"",
REGEXMATCH(LOWER(A117),""algo|api|systematic""),""Algo Trading / API Tutorial"",
REGEXMATCH(LOWER(A117),"&amp;"""groww|mtf|margin|pledge""),""Platform / Groww Feature Tutorial"",
REGEXMATCH(LOWER(A117),""candlestick|chart|price action|trendline|rsi|indicator""),""Technical Analysis / Chart Patterns"",
REGEXMATCH(LOWER(A117),""beginner|guide|start trading""),""Begi"&amp;"nner Trading Education"",
REGEXMATCH(LOWER(A117),""interview|journey|talks|wisdom""),""Expert Interview / Trading Insights"",
REGEXMATCH(LOWER(A117),""risk|loss|drawdown|psychology""),""Trading Psychology / Risk Management"",
REGEXMATCH(LOWER(A117),""comm"&amp;"odity|crude|gold|natural gas""),""Commodity Trading Education"",
TRUE,""General Trading Education""
)
"),"General Trading Education")</f>
        <v>General Trading Education</v>
      </c>
    </row>
    <row r="118" ht="15.75" customHeight="1">
      <c r="A118" s="1" t="s">
        <v>594</v>
      </c>
      <c r="B118" s="3" t="s">
        <v>595</v>
      </c>
      <c r="C118" s="1" t="s">
        <v>596</v>
      </c>
      <c r="D118" s="1" t="s">
        <v>597</v>
      </c>
      <c r="E118" s="4">
        <v>45654.0</v>
      </c>
      <c r="F118" s="10">
        <v>1.8715277777777777</v>
      </c>
      <c r="G118" s="1">
        <v>83704.0</v>
      </c>
      <c r="H118" s="1">
        <v>2022.0</v>
      </c>
      <c r="I118" s="1">
        <v>112.0</v>
      </c>
      <c r="J118" s="3" t="s">
        <v>598</v>
      </c>
      <c r="K118" s="6">
        <f t="shared" si="1"/>
        <v>2.549460002</v>
      </c>
      <c r="L118" s="7">
        <f t="shared" si="2"/>
        <v>2695</v>
      </c>
      <c r="M118" s="8">
        <f t="shared" si="3"/>
        <v>45649</v>
      </c>
      <c r="N118" s="9" t="str">
        <f>IFERROR(__xludf.DUMMYFUNCTION("IFS(
REGEXMATCH(LOWER(A118),""option|options""),""Options Strategy Education"",
REGEXMATCH(LOWER(A118),""bank nifty|nifty|index""),""Index Options"",
REGEXMATCH(LOWER(A118),""algo|api|systematic""),""Algo Trading / API Tutorial"",
REGEXMATCH(LOWER(A118),"&amp;"""groww|mtf|margin|pledge""),""Platform / Groww Feature Tutorial"",
REGEXMATCH(LOWER(A118),""candlestick|chart|price action|trendline|rsi|indicator""),""Technical Analysis / Chart Patterns"",
REGEXMATCH(LOWER(A118),""beginner|guide|start trading""),""Begi"&amp;"nner Trading Education"",
REGEXMATCH(LOWER(A118),""interview|journey|talks|wisdom""),""Expert Interview / Trading Insights"",
REGEXMATCH(LOWER(A118),""risk|loss|drawdown|psychology""),""Trading Psychology / Risk Management"",
REGEXMATCH(LOWER(A118),""comm"&amp;"odity|crude|gold|natural gas""),""Commodity Trading Education"",
TRUE,""General Trading Education""
)
"),"Options Strategy Education")</f>
        <v>Options Strategy Education</v>
      </c>
    </row>
    <row r="119" ht="15.75" customHeight="1">
      <c r="A119" s="1" t="s">
        <v>599</v>
      </c>
      <c r="B119" s="3" t="s">
        <v>600</v>
      </c>
      <c r="C119" s="1" t="s">
        <v>601</v>
      </c>
      <c r="D119" s="1" t="s">
        <v>602</v>
      </c>
      <c r="E119" s="4">
        <v>45652.0</v>
      </c>
      <c r="F119" s="5">
        <v>0.7798611111111111</v>
      </c>
      <c r="G119" s="1">
        <v>12114.0</v>
      </c>
      <c r="H119" s="1">
        <v>614.0</v>
      </c>
      <c r="I119" s="1">
        <v>18.0</v>
      </c>
      <c r="J119" s="3" t="s">
        <v>603</v>
      </c>
      <c r="K119" s="6">
        <f t="shared" si="1"/>
        <v>5.217104177</v>
      </c>
      <c r="L119" s="7">
        <f t="shared" si="2"/>
        <v>1123</v>
      </c>
      <c r="M119" s="8">
        <f t="shared" si="3"/>
        <v>45649</v>
      </c>
      <c r="N119" s="9" t="str">
        <f>IFERROR(__xludf.DUMMYFUNCTION("IFS(
REGEXMATCH(LOWER(A119),""option|options""),""Options Strategy Education"",
REGEXMATCH(LOWER(A119),""bank nifty|nifty|index""),""Index Options"",
REGEXMATCH(LOWER(A119),""algo|api|systematic""),""Algo Trading / API Tutorial"",
REGEXMATCH(LOWER(A119),"&amp;"""groww|mtf|margin|pledge""),""Platform / Groww Feature Tutorial"",
REGEXMATCH(LOWER(A119),""candlestick|chart|price action|trendline|rsi|indicator""),""Technical Analysis / Chart Patterns"",
REGEXMATCH(LOWER(A119),""beginner|guide|start trading""),""Begi"&amp;"nner Trading Education"",
REGEXMATCH(LOWER(A119),""interview|journey|talks|wisdom""),""Expert Interview / Trading Insights"",
REGEXMATCH(LOWER(A119),""risk|loss|drawdown|psychology""),""Trading Psychology / Risk Management"",
REGEXMATCH(LOWER(A119),""comm"&amp;"odity|crude|gold|natural gas""),""Commodity Trading Education"",
TRUE,""General Trading Education""
)
"),"Beginner Trading Education")</f>
        <v>Beginner Trading Education</v>
      </c>
    </row>
    <row r="120" ht="15.75" customHeight="1">
      <c r="A120" s="1" t="s">
        <v>604</v>
      </c>
      <c r="B120" s="3" t="s">
        <v>605</v>
      </c>
      <c r="C120" s="1" t="s">
        <v>606</v>
      </c>
      <c r="D120" s="1" t="s">
        <v>607</v>
      </c>
      <c r="E120" s="4">
        <v>45648.0</v>
      </c>
      <c r="F120" s="12">
        <v>0.04524305555555556</v>
      </c>
      <c r="G120" s="1">
        <v>144601.0</v>
      </c>
      <c r="H120" s="1">
        <v>3141.0</v>
      </c>
      <c r="I120" s="1">
        <v>148.0</v>
      </c>
      <c r="J120" s="3" t="s">
        <v>608</v>
      </c>
      <c r="K120" s="6">
        <f t="shared" si="1"/>
        <v>2.274534754</v>
      </c>
      <c r="L120" s="7">
        <f t="shared" si="2"/>
        <v>65.15</v>
      </c>
      <c r="M120" s="8">
        <f t="shared" si="3"/>
        <v>45642</v>
      </c>
      <c r="N120" s="9" t="str">
        <f>IFERROR(__xludf.DUMMYFUNCTION("IFS(
REGEXMATCH(LOWER(A120),""option|options""),""Options Strategy Education"",
REGEXMATCH(LOWER(A120),""bank nifty|nifty|index""),""Index Options"",
REGEXMATCH(LOWER(A120),""algo|api|systematic""),""Algo Trading / API Tutorial"",
REGEXMATCH(LOWER(A120),"&amp;"""groww|mtf|margin|pledge""),""Platform / Groww Feature Tutorial"",
REGEXMATCH(LOWER(A120),""candlestick|chart|price action|trendline|rsi|indicator""),""Technical Analysis / Chart Patterns"",
REGEXMATCH(LOWER(A120),""beginner|guide|start trading""),""Begi"&amp;"nner Trading Education"",
REGEXMATCH(LOWER(A120),""interview|journey|talks|wisdom""),""Expert Interview / Trading Insights"",
REGEXMATCH(LOWER(A120),""risk|loss|drawdown|psychology""),""Trading Psychology / Risk Management"",
REGEXMATCH(LOWER(A120),""comm"&amp;"odity|crude|gold|natural gas""),""Commodity Trading Education"",
TRUE,""General Trading Education""
)
"),"Options Strategy Education")</f>
        <v>Options Strategy Education</v>
      </c>
    </row>
    <row r="121" ht="15.75" customHeight="1">
      <c r="A121" s="1" t="s">
        <v>609</v>
      </c>
      <c r="B121" s="3" t="s">
        <v>610</v>
      </c>
      <c r="C121" s="1" t="s">
        <v>611</v>
      </c>
      <c r="D121" s="1" t="s">
        <v>612</v>
      </c>
      <c r="E121" s="4">
        <v>45645.0</v>
      </c>
      <c r="F121" s="5">
        <v>0.6902777777777778</v>
      </c>
      <c r="G121" s="1">
        <v>16307.0</v>
      </c>
      <c r="H121" s="1">
        <v>810.0</v>
      </c>
      <c r="I121" s="1">
        <v>17.0</v>
      </c>
      <c r="J121" s="3" t="s">
        <v>613</v>
      </c>
      <c r="K121" s="6">
        <f t="shared" si="1"/>
        <v>5.071441712</v>
      </c>
      <c r="L121" s="7">
        <f t="shared" si="2"/>
        <v>994</v>
      </c>
      <c r="M121" s="8">
        <f t="shared" si="3"/>
        <v>45642</v>
      </c>
      <c r="N121" s="9" t="str">
        <f>IFERROR(__xludf.DUMMYFUNCTION("IFS(
REGEXMATCH(LOWER(A121),""option|options""),""Options Strategy Education"",
REGEXMATCH(LOWER(A121),""bank nifty|nifty|index""),""Index Options"",
REGEXMATCH(LOWER(A121),""algo|api|systematic""),""Algo Trading / API Tutorial"",
REGEXMATCH(LOWER(A121),"&amp;"""groww|mtf|margin|pledge""),""Platform / Groww Feature Tutorial"",
REGEXMATCH(LOWER(A121),""candlestick|chart|price action|trendline|rsi|indicator""),""Technical Analysis / Chart Patterns"",
REGEXMATCH(LOWER(A121),""beginner|guide|start trading""),""Begi"&amp;"nner Trading Education"",
REGEXMATCH(LOWER(A121),""interview|journey|talks|wisdom""),""Expert Interview / Trading Insights"",
REGEXMATCH(LOWER(A121),""risk|loss|drawdown|psychology""),""Trading Psychology / Risk Management"",
REGEXMATCH(LOWER(A121),""comm"&amp;"odity|crude|gold|natural gas""),""Commodity Trading Education"",
TRUE,""General Trading Education""
)
"),"General Trading Education")</f>
        <v>General Trading Education</v>
      </c>
    </row>
    <row r="122" ht="15.75" customHeight="1">
      <c r="A122" s="1" t="s">
        <v>614</v>
      </c>
      <c r="B122" s="3" t="s">
        <v>615</v>
      </c>
      <c r="C122" s="1" t="s">
        <v>616</v>
      </c>
      <c r="D122" s="1" t="s">
        <v>617</v>
      </c>
      <c r="E122" s="4">
        <v>45640.0</v>
      </c>
      <c r="F122" s="5">
        <v>0.5645833333333333</v>
      </c>
      <c r="G122" s="1">
        <v>15470.0</v>
      </c>
      <c r="H122" s="1">
        <v>779.0</v>
      </c>
      <c r="I122" s="1">
        <v>18.0</v>
      </c>
      <c r="J122" s="3" t="s">
        <v>618</v>
      </c>
      <c r="K122" s="6">
        <f t="shared" si="1"/>
        <v>5.151906917</v>
      </c>
      <c r="L122" s="7">
        <f t="shared" si="2"/>
        <v>813</v>
      </c>
      <c r="M122" s="8">
        <f t="shared" si="3"/>
        <v>45635</v>
      </c>
      <c r="N122" s="9" t="str">
        <f>IFERROR(__xludf.DUMMYFUNCTION("IFS(
REGEXMATCH(LOWER(A122),""option|options""),""Options Strategy Education"",
REGEXMATCH(LOWER(A122),""bank nifty|nifty|index""),""Index Options"",
REGEXMATCH(LOWER(A122),""algo|api|systematic""),""Algo Trading / API Tutorial"",
REGEXMATCH(LOWER(A122),"&amp;"""groww|mtf|margin|pledge""),""Platform / Groww Feature Tutorial"",
REGEXMATCH(LOWER(A122),""candlestick|chart|price action|trendline|rsi|indicator""),""Technical Analysis / Chart Patterns"",
REGEXMATCH(LOWER(A122),""beginner|guide|start trading""),""Begi"&amp;"nner Trading Education"",
REGEXMATCH(LOWER(A122),""interview|journey|talks|wisdom""),""Expert Interview / Trading Insights"",
REGEXMATCH(LOWER(A122),""risk|loss|drawdown|psychology""),""Trading Psychology / Risk Management"",
REGEXMATCH(LOWER(A122),""comm"&amp;"odity|crude|gold|natural gas""),""Commodity Trading Education"",
TRUE,""General Trading Education""
)
"),"General Trading Education")</f>
        <v>General Trading Education</v>
      </c>
    </row>
    <row r="123" ht="15.75" customHeight="1">
      <c r="A123" s="1" t="s">
        <v>619</v>
      </c>
      <c r="B123" s="3" t="s">
        <v>620</v>
      </c>
      <c r="C123" s="1" t="s">
        <v>621</v>
      </c>
      <c r="D123" s="1" t="s">
        <v>622</v>
      </c>
      <c r="E123" s="4">
        <v>45637.0</v>
      </c>
      <c r="F123" s="5">
        <v>0.47847222222222224</v>
      </c>
      <c r="G123" s="1">
        <v>5303.0</v>
      </c>
      <c r="H123" s="1">
        <v>335.0</v>
      </c>
      <c r="I123" s="1">
        <v>8.0</v>
      </c>
      <c r="J123" s="3" t="s">
        <v>623</v>
      </c>
      <c r="K123" s="6">
        <f t="shared" si="1"/>
        <v>6.46803696</v>
      </c>
      <c r="L123" s="7">
        <f t="shared" si="2"/>
        <v>689</v>
      </c>
      <c r="M123" s="8">
        <f t="shared" si="3"/>
        <v>45635</v>
      </c>
      <c r="N123" s="9" t="str">
        <f>IFERROR(__xludf.DUMMYFUNCTION("IFS(
REGEXMATCH(LOWER(A123),""option|options""),""Options Strategy Education"",
REGEXMATCH(LOWER(A123),""bank nifty|nifty|index""),""Index Options"",
REGEXMATCH(LOWER(A123),""algo|api|systematic""),""Algo Trading / API Tutorial"",
REGEXMATCH(LOWER(A123),"&amp;"""groww|mtf|margin|pledge""),""Platform / Groww Feature Tutorial"",
REGEXMATCH(LOWER(A123),""candlestick|chart|price action|trendline|rsi|indicator""),""Technical Analysis / Chart Patterns"",
REGEXMATCH(LOWER(A123),""beginner|guide|start trading""),""Begi"&amp;"nner Trading Education"",
REGEXMATCH(LOWER(A123),""interview|journey|talks|wisdom""),""Expert Interview / Trading Insights"",
REGEXMATCH(LOWER(A123),""risk|loss|drawdown|psychology""),""Trading Psychology / Risk Management"",
REGEXMATCH(LOWER(A123),""comm"&amp;"odity|crude|gold|natural gas""),""Commodity Trading Education"",
TRUE,""General Trading Education""
)
"),"Beginner Trading Education")</f>
        <v>Beginner Trading Education</v>
      </c>
    </row>
    <row r="124" ht="15.75" customHeight="1">
      <c r="A124" s="1" t="s">
        <v>624</v>
      </c>
      <c r="B124" s="3" t="s">
        <v>625</v>
      </c>
      <c r="C124" s="1" t="s">
        <v>626</v>
      </c>
      <c r="D124" s="1" t="s">
        <v>627</v>
      </c>
      <c r="E124" s="4">
        <v>45630.0</v>
      </c>
      <c r="F124" s="5">
        <v>0.625</v>
      </c>
      <c r="G124" s="1">
        <v>9246.0</v>
      </c>
      <c r="H124" s="1">
        <v>530.0</v>
      </c>
      <c r="I124" s="1">
        <v>17.0</v>
      </c>
      <c r="J124" s="3" t="s">
        <v>628</v>
      </c>
      <c r="K124" s="6">
        <f t="shared" si="1"/>
        <v>5.916071815</v>
      </c>
      <c r="L124" s="7">
        <f t="shared" si="2"/>
        <v>900</v>
      </c>
      <c r="M124" s="8">
        <f t="shared" si="3"/>
        <v>45628</v>
      </c>
      <c r="N124" s="9" t="str">
        <f>IFERROR(__xludf.DUMMYFUNCTION("IFS(
REGEXMATCH(LOWER(A124),""option|options""),""Options Strategy Education"",
REGEXMATCH(LOWER(A124),""bank nifty|nifty|index""),""Index Options"",
REGEXMATCH(LOWER(A124),""algo|api|systematic""),""Algo Trading / API Tutorial"",
REGEXMATCH(LOWER(A124),"&amp;"""groww|mtf|margin|pledge""),""Platform / Groww Feature Tutorial"",
REGEXMATCH(LOWER(A124),""candlestick|chart|price action|trendline|rsi|indicator""),""Technical Analysis / Chart Patterns"",
REGEXMATCH(LOWER(A124),""beginner|guide|start trading""),""Begi"&amp;"nner Trading Education"",
REGEXMATCH(LOWER(A124),""interview|journey|talks|wisdom""),""Expert Interview / Trading Insights"",
REGEXMATCH(LOWER(A124),""risk|loss|drawdown|psychology""),""Trading Psychology / Risk Management"",
REGEXMATCH(LOWER(A124),""comm"&amp;"odity|crude|gold|natural gas""),""Commodity Trading Education"",
TRUE,""General Trading Education""
)
"),"Technical Analysis / Chart Patterns")</f>
        <v>Technical Analysis / Chart Patterns</v>
      </c>
    </row>
    <row r="125" ht="15.75" customHeight="1">
      <c r="A125" s="1" t="s">
        <v>629</v>
      </c>
      <c r="B125" s="3" t="s">
        <v>630</v>
      </c>
      <c r="C125" s="1" t="s">
        <v>631</v>
      </c>
      <c r="D125" s="1" t="s">
        <v>632</v>
      </c>
      <c r="E125" s="4">
        <v>45626.0</v>
      </c>
      <c r="F125" s="10">
        <v>1.5034722222222223</v>
      </c>
      <c r="G125" s="1">
        <v>35199.0</v>
      </c>
      <c r="H125" s="1">
        <v>747.0</v>
      </c>
      <c r="I125" s="1">
        <v>33.0</v>
      </c>
      <c r="J125" s="3" t="s">
        <v>633</v>
      </c>
      <c r="K125" s="6">
        <f t="shared" si="1"/>
        <v>2.215972045</v>
      </c>
      <c r="L125" s="7">
        <f t="shared" si="2"/>
        <v>2165</v>
      </c>
      <c r="M125" s="8">
        <f t="shared" si="3"/>
        <v>45621</v>
      </c>
      <c r="N125" s="9" t="str">
        <f>IFERROR(__xludf.DUMMYFUNCTION("IFS(
REGEXMATCH(LOWER(A125),""option|options""),""Options Strategy Education"",
REGEXMATCH(LOWER(A125),""bank nifty|nifty|index""),""Index Options"",
REGEXMATCH(LOWER(A125),""algo|api|systematic""),""Algo Trading / API Tutorial"",
REGEXMATCH(LOWER(A125),"&amp;"""groww|mtf|margin|pledge""),""Platform / Groww Feature Tutorial"",
REGEXMATCH(LOWER(A125),""candlestick|chart|price action|trendline|rsi|indicator""),""Technical Analysis / Chart Patterns"",
REGEXMATCH(LOWER(A125),""beginner|guide|start trading""),""Begi"&amp;"nner Trading Education"",
REGEXMATCH(LOWER(A125),""interview|journey|talks|wisdom""),""Expert Interview / Trading Insights"",
REGEXMATCH(LOWER(A125),""risk|loss|drawdown|psychology""),""Trading Psychology / Risk Management"",
REGEXMATCH(LOWER(A125),""comm"&amp;"odity|crude|gold|natural gas""),""Commodity Trading Education"",
TRUE,""General Trading Education""
)
"),"Options Strategy Education")</f>
        <v>Options Strategy Education</v>
      </c>
    </row>
    <row r="126" ht="15.75" customHeight="1">
      <c r="A126" s="1" t="s">
        <v>634</v>
      </c>
      <c r="B126" s="3" t="s">
        <v>635</v>
      </c>
      <c r="C126" s="1" t="s">
        <v>636</v>
      </c>
      <c r="D126" s="1" t="s">
        <v>637</v>
      </c>
      <c r="E126" s="4">
        <v>45623.0</v>
      </c>
      <c r="F126" s="5">
        <v>0.5201388888888889</v>
      </c>
      <c r="G126" s="1">
        <v>13003.0</v>
      </c>
      <c r="H126" s="1">
        <v>577.0</v>
      </c>
      <c r="I126" s="1">
        <v>20.0</v>
      </c>
      <c r="J126" s="3" t="s">
        <v>638</v>
      </c>
      <c r="K126" s="6">
        <f t="shared" si="1"/>
        <v>4.591248173</v>
      </c>
      <c r="L126" s="7">
        <f t="shared" si="2"/>
        <v>749</v>
      </c>
      <c r="M126" s="8">
        <f t="shared" si="3"/>
        <v>45621</v>
      </c>
      <c r="N126" s="9" t="str">
        <f>IFERROR(__xludf.DUMMYFUNCTION("IFS(
REGEXMATCH(LOWER(A126),""option|options""),""Options Strategy Education"",
REGEXMATCH(LOWER(A126),""bank nifty|nifty|index""),""Index Options"",
REGEXMATCH(LOWER(A126),""algo|api|systematic""),""Algo Trading / API Tutorial"",
REGEXMATCH(LOWER(A126),"&amp;"""groww|mtf|margin|pledge""),""Platform / Groww Feature Tutorial"",
REGEXMATCH(LOWER(A126),""candlestick|chart|price action|trendline|rsi|indicator""),""Technical Analysis / Chart Patterns"",
REGEXMATCH(LOWER(A126),""beginner|guide|start trading""),""Begi"&amp;"nner Trading Education"",
REGEXMATCH(LOWER(A126),""interview|journey|talks|wisdom""),""Expert Interview / Trading Insights"",
REGEXMATCH(LOWER(A126),""risk|loss|drawdown|psychology""),""Trading Psychology / Risk Management"",
REGEXMATCH(LOWER(A126),""comm"&amp;"odity|crude|gold|natural gas""),""Commodity Trading Education"",
TRUE,""General Trading Education""
)
"),"General Trading Education")</f>
        <v>General Trading Education</v>
      </c>
    </row>
    <row r="127" ht="15.75" customHeight="1">
      <c r="A127" s="1" t="s">
        <v>639</v>
      </c>
      <c r="B127" s="3" t="s">
        <v>640</v>
      </c>
      <c r="C127" s="1" t="s">
        <v>641</v>
      </c>
      <c r="D127" s="1" t="s">
        <v>642</v>
      </c>
      <c r="E127" s="4">
        <v>45619.0</v>
      </c>
      <c r="F127" s="10">
        <v>2.2395833333333335</v>
      </c>
      <c r="G127" s="1">
        <v>37515.0</v>
      </c>
      <c r="H127" s="1">
        <v>787.0</v>
      </c>
      <c r="I127" s="1">
        <v>34.0</v>
      </c>
      <c r="J127" s="3" t="s">
        <v>643</v>
      </c>
      <c r="K127" s="6">
        <f t="shared" si="1"/>
        <v>2.18845795</v>
      </c>
      <c r="L127" s="7">
        <f t="shared" si="2"/>
        <v>3225</v>
      </c>
      <c r="M127" s="8">
        <f t="shared" si="3"/>
        <v>45614</v>
      </c>
      <c r="N127" s="9" t="str">
        <f>IFERROR(__xludf.DUMMYFUNCTION("IFS(
REGEXMATCH(LOWER(A127),""option|options""),""Options Strategy Education"",
REGEXMATCH(LOWER(A127),""bank nifty|nifty|index""),""Index Options"",
REGEXMATCH(LOWER(A127),""algo|api|systematic""),""Algo Trading / API Tutorial"",
REGEXMATCH(LOWER(A127),"&amp;"""groww|mtf|margin|pledge""),""Platform / Groww Feature Tutorial"",
REGEXMATCH(LOWER(A127),""candlestick|chart|price action|trendline|rsi|indicator""),""Technical Analysis / Chart Patterns"",
REGEXMATCH(LOWER(A127),""beginner|guide|start trading""),""Begi"&amp;"nner Trading Education"",
REGEXMATCH(LOWER(A127),""interview|journey|talks|wisdom""),""Expert Interview / Trading Insights"",
REGEXMATCH(LOWER(A127),""risk|loss|drawdown|psychology""),""Trading Psychology / Risk Management"",
REGEXMATCH(LOWER(A127),""comm"&amp;"odity|crude|gold|natural gas""),""Commodity Trading Education"",
TRUE,""General Trading Education""
)
"),"Options Strategy Education")</f>
        <v>Options Strategy Education</v>
      </c>
    </row>
    <row r="128" ht="15.75" customHeight="1">
      <c r="A128" s="1" t="s">
        <v>644</v>
      </c>
      <c r="B128" s="3" t="s">
        <v>645</v>
      </c>
      <c r="C128" s="1" t="s">
        <v>646</v>
      </c>
      <c r="D128" s="1" t="s">
        <v>647</v>
      </c>
      <c r="E128" s="4">
        <v>45613.0</v>
      </c>
      <c r="F128" s="10">
        <v>2.1145833333333335</v>
      </c>
      <c r="G128" s="1">
        <v>54535.0</v>
      </c>
      <c r="H128" s="1">
        <v>1108.0</v>
      </c>
      <c r="I128" s="1">
        <v>67.0</v>
      </c>
      <c r="J128" s="3" t="s">
        <v>648</v>
      </c>
      <c r="K128" s="6">
        <f t="shared" si="1"/>
        <v>2.154579628</v>
      </c>
      <c r="L128" s="7">
        <f t="shared" si="2"/>
        <v>3045</v>
      </c>
      <c r="M128" s="8">
        <f t="shared" si="3"/>
        <v>45607</v>
      </c>
      <c r="N128" s="9" t="str">
        <f>IFERROR(__xludf.DUMMYFUNCTION("IFS(
REGEXMATCH(LOWER(A128),""option|options""),""Options Strategy Education"",
REGEXMATCH(LOWER(A128),""bank nifty|nifty|index""),""Index Options"",
REGEXMATCH(LOWER(A128),""algo|api|systematic""),""Algo Trading / API Tutorial"",
REGEXMATCH(LOWER(A128),"&amp;"""groww|mtf|margin|pledge""),""Platform / Groww Feature Tutorial"",
REGEXMATCH(LOWER(A128),""candlestick|chart|price action|trendline|rsi|indicator""),""Technical Analysis / Chart Patterns"",
REGEXMATCH(LOWER(A128),""beginner|guide|start trading""),""Begi"&amp;"nner Trading Education"",
REGEXMATCH(LOWER(A128),""interview|journey|talks|wisdom""),""Expert Interview / Trading Insights"",
REGEXMATCH(LOWER(A128),""risk|loss|drawdown|psychology""),""Trading Psychology / Risk Management"",
REGEXMATCH(LOWER(A128),""comm"&amp;"odity|crude|gold|natural gas""),""Commodity Trading Education"",
TRUE,""General Trading Education""
)
"),"General Trading Education")</f>
        <v>General Trading Education</v>
      </c>
    </row>
    <row r="129" ht="15.75" customHeight="1">
      <c r="A129" s="1" t="s">
        <v>649</v>
      </c>
      <c r="B129" s="3" t="s">
        <v>650</v>
      </c>
      <c r="C129" s="1" t="s">
        <v>651</v>
      </c>
      <c r="D129" s="1" t="s">
        <v>652</v>
      </c>
      <c r="E129" s="4">
        <v>45598.0</v>
      </c>
      <c r="F129" s="5">
        <v>0.48194444444444445</v>
      </c>
      <c r="G129" s="1">
        <v>3286.0</v>
      </c>
      <c r="H129" s="1">
        <v>144.0</v>
      </c>
      <c r="I129" s="1">
        <v>9.0</v>
      </c>
      <c r="J129" s="3" t="s">
        <v>653</v>
      </c>
      <c r="K129" s="6">
        <f t="shared" si="1"/>
        <v>4.656116859</v>
      </c>
      <c r="L129" s="7">
        <f t="shared" si="2"/>
        <v>694</v>
      </c>
      <c r="M129" s="8">
        <f t="shared" si="3"/>
        <v>45593</v>
      </c>
      <c r="N129" s="9" t="str">
        <f>IFERROR(__xludf.DUMMYFUNCTION("IFS(
REGEXMATCH(LOWER(A129),""option|options""),""Options Strategy Education"",
REGEXMATCH(LOWER(A129),""bank nifty|nifty|index""),""Index Options"",
REGEXMATCH(LOWER(A129),""algo|api|systematic""),""Algo Trading / API Tutorial"",
REGEXMATCH(LOWER(A129),"&amp;"""groww|mtf|margin|pledge""),""Platform / Groww Feature Tutorial"",
REGEXMATCH(LOWER(A129),""candlestick|chart|price action|trendline|rsi|indicator""),""Technical Analysis / Chart Patterns"",
REGEXMATCH(LOWER(A129),""beginner|guide|start trading""),""Begi"&amp;"nner Trading Education"",
REGEXMATCH(LOWER(A129),""interview|journey|talks|wisdom""),""Expert Interview / Trading Insights"",
REGEXMATCH(LOWER(A129),""risk|loss|drawdown|psychology""),""Trading Psychology / Risk Management"",
REGEXMATCH(LOWER(A129),""comm"&amp;"odity|crude|gold|natural gas""),""Commodity Trading Education"",
TRUE,""General Trading Education""
)
"),"General Trading Education")</f>
        <v>General Trading Education</v>
      </c>
    </row>
    <row r="130" ht="15.75" customHeight="1">
      <c r="A130" s="1" t="s">
        <v>654</v>
      </c>
      <c r="B130" s="3" t="s">
        <v>655</v>
      </c>
      <c r="C130" s="1" t="s">
        <v>656</v>
      </c>
      <c r="D130" s="1" t="s">
        <v>657</v>
      </c>
      <c r="E130" s="4">
        <v>45591.0</v>
      </c>
      <c r="F130" s="12">
        <v>0.04446759259259259</v>
      </c>
      <c r="G130" s="1">
        <v>55083.0</v>
      </c>
      <c r="H130" s="1">
        <v>1201.0</v>
      </c>
      <c r="I130" s="1">
        <v>83.0</v>
      </c>
      <c r="J130" s="3" t="s">
        <v>658</v>
      </c>
      <c r="K130" s="6">
        <f t="shared" si="1"/>
        <v>2.331027722</v>
      </c>
      <c r="L130" s="7">
        <f t="shared" si="2"/>
        <v>64.03333333</v>
      </c>
      <c r="M130" s="8">
        <f t="shared" si="3"/>
        <v>45586</v>
      </c>
      <c r="N130" s="9" t="str">
        <f>IFERROR(__xludf.DUMMYFUNCTION("IFS(
REGEXMATCH(LOWER(A130),""option|options""),""Options Strategy Education"",
REGEXMATCH(LOWER(A130),""bank nifty|nifty|index""),""Index Options"",
REGEXMATCH(LOWER(A130),""algo|api|systematic""),""Algo Trading / API Tutorial"",
REGEXMATCH(LOWER(A130),"&amp;"""groww|mtf|margin|pledge""),""Platform / Groww Feature Tutorial"",
REGEXMATCH(LOWER(A130),""candlestick|chart|price action|trendline|rsi|indicator""),""Technical Analysis / Chart Patterns"",
REGEXMATCH(LOWER(A130),""beginner|guide|start trading""),""Begi"&amp;"nner Trading Education"",
REGEXMATCH(LOWER(A130),""interview|journey|talks|wisdom""),""Expert Interview / Trading Insights"",
REGEXMATCH(LOWER(A130),""risk|loss|drawdown|psychology""),""Trading Psychology / Risk Management"",
REGEXMATCH(LOWER(A130),""comm"&amp;"odity|crude|gold|natural gas""),""Commodity Trading Education"",
TRUE,""General Trading Education""
)
"),"Technical Analysis / Chart Patterns")</f>
        <v>Technical Analysis / Chart Patterns</v>
      </c>
    </row>
    <row r="131" ht="15.75" customHeight="1">
      <c r="A131" s="1" t="s">
        <v>659</v>
      </c>
      <c r="B131" s="3" t="s">
        <v>660</v>
      </c>
      <c r="C131" s="1" t="s">
        <v>661</v>
      </c>
      <c r="D131" s="1" t="s">
        <v>662</v>
      </c>
      <c r="E131" s="4">
        <v>45584.0</v>
      </c>
      <c r="F131" s="12">
        <v>0.04925925925925926</v>
      </c>
      <c r="G131" s="1">
        <v>105523.0</v>
      </c>
      <c r="H131" s="1">
        <v>2027.0</v>
      </c>
      <c r="I131" s="1">
        <v>110.0</v>
      </c>
      <c r="J131" s="3" t="s">
        <v>663</v>
      </c>
      <c r="K131" s="6">
        <f t="shared" si="1"/>
        <v>2.025150915</v>
      </c>
      <c r="L131" s="7">
        <f t="shared" si="2"/>
        <v>70.93333333</v>
      </c>
      <c r="M131" s="8">
        <f t="shared" si="3"/>
        <v>45579</v>
      </c>
      <c r="N131" s="9" t="str">
        <f>IFERROR(__xludf.DUMMYFUNCTION("IFS(
REGEXMATCH(LOWER(A131),""option|options""),""Options Strategy Education"",
REGEXMATCH(LOWER(A131),""bank nifty|nifty|index""),""Index Options"",
REGEXMATCH(LOWER(A131),""algo|api|systematic""),""Algo Trading / API Tutorial"",
REGEXMATCH(LOWER(A131),"&amp;"""groww|mtf|margin|pledge""),""Platform / Groww Feature Tutorial"",
REGEXMATCH(LOWER(A131),""candlestick|chart|price action|trendline|rsi|indicator""),""Technical Analysis / Chart Patterns"",
REGEXMATCH(LOWER(A131),""beginner|guide|start trading""),""Begi"&amp;"nner Trading Education"",
REGEXMATCH(LOWER(A131),""interview|journey|talks|wisdom""),""Expert Interview / Trading Insights"",
REGEXMATCH(LOWER(A131),""risk|loss|drawdown|psychology""),""Trading Psychology / Risk Management"",
REGEXMATCH(LOWER(A131),""comm"&amp;"odity|crude|gold|natural gas""),""Commodity Trading Education"",
TRUE,""General Trading Education""
)
"),"General Trading Education")</f>
        <v>General Trading Education</v>
      </c>
    </row>
    <row r="132" ht="15.75" customHeight="1">
      <c r="A132" s="1" t="s">
        <v>664</v>
      </c>
      <c r="B132" s="3" t="s">
        <v>665</v>
      </c>
      <c r="C132" s="1" t="s">
        <v>666</v>
      </c>
      <c r="D132" s="1" t="s">
        <v>667</v>
      </c>
      <c r="E132" s="4">
        <v>45582.0</v>
      </c>
      <c r="F132" s="5">
        <v>0.525</v>
      </c>
      <c r="G132" s="1">
        <v>4731.0</v>
      </c>
      <c r="H132" s="1">
        <v>226.0</v>
      </c>
      <c r="I132" s="1">
        <v>9.0</v>
      </c>
      <c r="J132" s="3" t="s">
        <v>668</v>
      </c>
      <c r="K132" s="6">
        <f t="shared" si="1"/>
        <v>4.967237371</v>
      </c>
      <c r="L132" s="7">
        <f t="shared" si="2"/>
        <v>756</v>
      </c>
      <c r="M132" s="8">
        <f t="shared" si="3"/>
        <v>45579</v>
      </c>
      <c r="N132" s="9" t="str">
        <f>IFERROR(__xludf.DUMMYFUNCTION("IFS(
REGEXMATCH(LOWER(A132),""option|options""),""Options Strategy Education"",
REGEXMATCH(LOWER(A132),""bank nifty|nifty|index""),""Index Options"",
REGEXMATCH(LOWER(A132),""algo|api|systematic""),""Algo Trading / API Tutorial"",
REGEXMATCH(LOWER(A132),"&amp;"""groww|mtf|margin|pledge""),""Platform / Groww Feature Tutorial"",
REGEXMATCH(LOWER(A132),""candlestick|chart|price action|trendline|rsi|indicator""),""Technical Analysis / Chart Patterns"",
REGEXMATCH(LOWER(A132),""beginner|guide|start trading""),""Begi"&amp;"nner Trading Education"",
REGEXMATCH(LOWER(A132),""interview|journey|talks|wisdom""),""Expert Interview / Trading Insights"",
REGEXMATCH(LOWER(A132),""risk|loss|drawdown|psychology""),""Trading Psychology / Risk Management"",
REGEXMATCH(LOWER(A132),""comm"&amp;"odity|crude|gold|natural gas""),""Commodity Trading Education"",
TRUE,""General Trading Education""
)
"),"Options Strategy Education")</f>
        <v>Options Strategy Education</v>
      </c>
    </row>
    <row r="133" ht="15.75" customHeight="1">
      <c r="A133" s="1" t="s">
        <v>669</v>
      </c>
      <c r="B133" s="3" t="s">
        <v>670</v>
      </c>
      <c r="C133" s="1" t="s">
        <v>671</v>
      </c>
      <c r="D133" s="1" t="s">
        <v>672</v>
      </c>
      <c r="E133" s="4">
        <v>45577.0</v>
      </c>
      <c r="F133" s="5">
        <v>0.5291666666666667</v>
      </c>
      <c r="G133" s="1">
        <v>5719.0</v>
      </c>
      <c r="H133" s="1">
        <v>248.0</v>
      </c>
      <c r="I133" s="1">
        <v>21.0</v>
      </c>
      <c r="J133" s="3" t="s">
        <v>673</v>
      </c>
      <c r="K133" s="6">
        <f t="shared" si="1"/>
        <v>4.703619514</v>
      </c>
      <c r="L133" s="7">
        <f t="shared" si="2"/>
        <v>762</v>
      </c>
      <c r="M133" s="8">
        <f t="shared" si="3"/>
        <v>45572</v>
      </c>
      <c r="N133" s="9" t="str">
        <f>IFERROR(__xludf.DUMMYFUNCTION("IFS(
REGEXMATCH(LOWER(A133),""option|options""),""Options Strategy Education"",
REGEXMATCH(LOWER(A133),""bank nifty|nifty|index""),""Index Options"",
REGEXMATCH(LOWER(A133),""algo|api|systematic""),""Algo Trading / API Tutorial"",
REGEXMATCH(LOWER(A133),"&amp;"""groww|mtf|margin|pledge""),""Platform / Groww Feature Tutorial"",
REGEXMATCH(LOWER(A133),""candlestick|chart|price action|trendline|rsi|indicator""),""Technical Analysis / Chart Patterns"",
REGEXMATCH(LOWER(A133),""beginner|guide|start trading""),""Begi"&amp;"nner Trading Education"",
REGEXMATCH(LOWER(A133),""interview|journey|talks|wisdom""),""Expert Interview / Trading Insights"",
REGEXMATCH(LOWER(A133),""risk|loss|drawdown|psychology""),""Trading Psychology / Risk Management"",
REGEXMATCH(LOWER(A133),""comm"&amp;"odity|crude|gold|natural gas""),""Commodity Trading Education"",
TRUE,""General Trading Education""
)
"),"General Trading Education")</f>
        <v>General Trading Education</v>
      </c>
    </row>
    <row r="134" ht="15.75" customHeight="1">
      <c r="A134" s="1" t="s">
        <v>674</v>
      </c>
      <c r="B134" s="3" t="s">
        <v>675</v>
      </c>
      <c r="C134" s="1" t="s">
        <v>676</v>
      </c>
      <c r="D134" s="1" t="s">
        <v>677</v>
      </c>
      <c r="E134" s="4">
        <v>45570.0</v>
      </c>
      <c r="F134" s="10">
        <v>1.6180555555555556</v>
      </c>
      <c r="G134" s="1">
        <v>8983.0</v>
      </c>
      <c r="H134" s="1">
        <v>359.0</v>
      </c>
      <c r="I134" s="1">
        <v>24.0</v>
      </c>
      <c r="J134" s="3" t="s">
        <v>678</v>
      </c>
      <c r="K134" s="6">
        <f t="shared" si="1"/>
        <v>4.263609039</v>
      </c>
      <c r="L134" s="7">
        <f t="shared" si="2"/>
        <v>2330</v>
      </c>
      <c r="M134" s="8">
        <f t="shared" si="3"/>
        <v>45565</v>
      </c>
      <c r="N134" s="9" t="str">
        <f>IFERROR(__xludf.DUMMYFUNCTION("IFS(
REGEXMATCH(LOWER(A134),""option|options""),""Options Strategy Education"",
REGEXMATCH(LOWER(A134),""bank nifty|nifty|index""),""Index Options"",
REGEXMATCH(LOWER(A134),""algo|api|systematic""),""Algo Trading / API Tutorial"",
REGEXMATCH(LOWER(A134),"&amp;"""groww|mtf|margin|pledge""),""Platform / Groww Feature Tutorial"",
REGEXMATCH(LOWER(A134),""candlestick|chart|price action|trendline|rsi|indicator""),""Technical Analysis / Chart Patterns"",
REGEXMATCH(LOWER(A134),""beginner|guide|start trading""),""Begi"&amp;"nner Trading Education"",
REGEXMATCH(LOWER(A134),""interview|journey|talks|wisdom""),""Expert Interview / Trading Insights"",
REGEXMATCH(LOWER(A134),""risk|loss|drawdown|psychology""),""Trading Psychology / Risk Management"",
REGEXMATCH(LOWER(A134),""comm"&amp;"odity|crude|gold|natural gas""),""Commodity Trading Education"",
TRUE,""General Trading Education""
)
"),"Options Strategy Education")</f>
        <v>Options Strategy Education</v>
      </c>
    </row>
    <row r="135" ht="15.75" customHeight="1">
      <c r="A135" s="1" t="s">
        <v>679</v>
      </c>
      <c r="B135" s="3" t="s">
        <v>680</v>
      </c>
      <c r="C135" s="1" t="s">
        <v>681</v>
      </c>
      <c r="D135" s="1" t="s">
        <v>682</v>
      </c>
      <c r="E135" s="4">
        <v>45563.0</v>
      </c>
      <c r="F135" s="10">
        <v>1.9666666666666666</v>
      </c>
      <c r="G135" s="1">
        <v>126841.0</v>
      </c>
      <c r="H135" s="1">
        <v>3021.0</v>
      </c>
      <c r="I135" s="1">
        <v>188.0</v>
      </c>
      <c r="J135" s="3" t="s">
        <v>683</v>
      </c>
      <c r="K135" s="6">
        <f t="shared" si="1"/>
        <v>2.529939058</v>
      </c>
      <c r="L135" s="7">
        <f t="shared" si="2"/>
        <v>2832</v>
      </c>
      <c r="M135" s="8">
        <f t="shared" si="3"/>
        <v>45558</v>
      </c>
      <c r="N135" s="9" t="str">
        <f>IFERROR(__xludf.DUMMYFUNCTION("IFS(
REGEXMATCH(LOWER(A135),""option|options""),""Options Strategy Education"",
REGEXMATCH(LOWER(A135),""bank nifty|nifty|index""),""Index Options"",
REGEXMATCH(LOWER(A135),""algo|api|systematic""),""Algo Trading / API Tutorial"",
REGEXMATCH(LOWER(A135),"&amp;"""groww|mtf|margin|pledge""),""Platform / Groww Feature Tutorial"",
REGEXMATCH(LOWER(A135),""candlestick|chart|price action|trendline|rsi|indicator""),""Technical Analysis / Chart Patterns"",
REGEXMATCH(LOWER(A135),""beginner|guide|start trading""),""Begi"&amp;"nner Trading Education"",
REGEXMATCH(LOWER(A135),""interview|journey|talks|wisdom""),""Expert Interview / Trading Insights"",
REGEXMATCH(LOWER(A135),""risk|loss|drawdown|psychology""),""Trading Psychology / Risk Management"",
REGEXMATCH(LOWER(A135),""comm"&amp;"odity|crude|gold|natural gas""),""Commodity Trading Education"",
TRUE,""General Trading Education""
)
"),"General Trading Education")</f>
        <v>General Trading Education</v>
      </c>
    </row>
    <row r="136" ht="15.75" customHeight="1">
      <c r="A136" s="1" t="s">
        <v>684</v>
      </c>
      <c r="B136" s="3" t="s">
        <v>685</v>
      </c>
      <c r="C136" s="1" t="s">
        <v>686</v>
      </c>
      <c r="D136" s="1" t="s">
        <v>687</v>
      </c>
      <c r="E136" s="4">
        <v>45560.0</v>
      </c>
      <c r="F136" s="5">
        <v>0.65</v>
      </c>
      <c r="G136" s="1">
        <v>7210.0</v>
      </c>
      <c r="H136" s="1">
        <v>262.0</v>
      </c>
      <c r="I136" s="1">
        <v>14.0</v>
      </c>
      <c r="J136" s="3" t="s">
        <v>688</v>
      </c>
      <c r="K136" s="6">
        <f t="shared" si="1"/>
        <v>3.828016644</v>
      </c>
      <c r="L136" s="7">
        <f t="shared" si="2"/>
        <v>936</v>
      </c>
      <c r="M136" s="8">
        <f t="shared" si="3"/>
        <v>45558</v>
      </c>
      <c r="N136" s="9" t="str">
        <f>IFERROR(__xludf.DUMMYFUNCTION("IFS(
REGEXMATCH(LOWER(A136),""option|options""),""Options Strategy Education"",
REGEXMATCH(LOWER(A136),""bank nifty|nifty|index""),""Index Options"",
REGEXMATCH(LOWER(A136),""algo|api|systematic""),""Algo Trading / API Tutorial"",
REGEXMATCH(LOWER(A136),"&amp;"""groww|mtf|margin|pledge""),""Platform / Groww Feature Tutorial"",
REGEXMATCH(LOWER(A136),""candlestick|chart|price action|trendline|rsi|indicator""),""Technical Analysis / Chart Patterns"",
REGEXMATCH(LOWER(A136),""beginner|guide|start trading""),""Begi"&amp;"nner Trading Education"",
REGEXMATCH(LOWER(A136),""interview|journey|talks|wisdom""),""Expert Interview / Trading Insights"",
REGEXMATCH(LOWER(A136),""risk|loss|drawdown|psychology""),""Trading Psychology / Risk Management"",
REGEXMATCH(LOWER(A136),""comm"&amp;"odity|crude|gold|natural gas""),""Commodity Trading Education"",
TRUE,""General Trading Education""
)
"),"Options Strategy Education")</f>
        <v>Options Strategy Education</v>
      </c>
    </row>
    <row r="137" ht="15.75" customHeight="1">
      <c r="A137" s="1" t="s">
        <v>689</v>
      </c>
      <c r="B137" s="3" t="s">
        <v>690</v>
      </c>
      <c r="C137" s="1" t="s">
        <v>691</v>
      </c>
      <c r="D137" s="1" t="s">
        <v>692</v>
      </c>
      <c r="E137" s="4">
        <v>45556.0</v>
      </c>
      <c r="F137" s="10">
        <v>1.6458333333333333</v>
      </c>
      <c r="G137" s="1">
        <v>60457.0</v>
      </c>
      <c r="H137" s="1">
        <v>1570.0</v>
      </c>
      <c r="I137" s="1">
        <v>102.0</v>
      </c>
      <c r="J137" s="3" t="s">
        <v>693</v>
      </c>
      <c r="K137" s="6">
        <f t="shared" si="1"/>
        <v>2.765601998</v>
      </c>
      <c r="L137" s="7">
        <f t="shared" si="2"/>
        <v>2370</v>
      </c>
      <c r="M137" s="8">
        <f t="shared" si="3"/>
        <v>45551</v>
      </c>
      <c r="N137" s="9" t="str">
        <f>IFERROR(__xludf.DUMMYFUNCTION("IFS(
REGEXMATCH(LOWER(A137),""option|options""),""Options Strategy Education"",
REGEXMATCH(LOWER(A137),""bank nifty|nifty|index""),""Index Options"",
REGEXMATCH(LOWER(A137),""algo|api|systematic""),""Algo Trading / API Tutorial"",
REGEXMATCH(LOWER(A137),"&amp;"""groww|mtf|margin|pledge""),""Platform / Groww Feature Tutorial"",
REGEXMATCH(LOWER(A137),""candlestick|chart|price action|trendline|rsi|indicator""),""Technical Analysis / Chart Patterns"",
REGEXMATCH(LOWER(A137),""beginner|guide|start trading""),""Begi"&amp;"nner Trading Education"",
REGEXMATCH(LOWER(A137),""interview|journey|talks|wisdom""),""Expert Interview / Trading Insights"",
REGEXMATCH(LOWER(A137),""risk|loss|drawdown|psychology""),""Trading Psychology / Risk Management"",
REGEXMATCH(LOWER(A137),""comm"&amp;"odity|crude|gold|natural gas""),""Commodity Trading Education"",
TRUE,""General Trading Education""
)
"),"Options Strategy Education")</f>
        <v>Options Strategy Education</v>
      </c>
    </row>
    <row r="138" ht="15.75" customHeight="1">
      <c r="A138" s="1" t="s">
        <v>694</v>
      </c>
      <c r="B138" s="3" t="s">
        <v>695</v>
      </c>
      <c r="C138" s="1" t="s">
        <v>696</v>
      </c>
      <c r="D138" s="1" t="s">
        <v>697</v>
      </c>
      <c r="E138" s="4">
        <v>45553.0</v>
      </c>
      <c r="F138" s="5">
        <v>0.6159722222222223</v>
      </c>
      <c r="G138" s="1">
        <v>9370.0</v>
      </c>
      <c r="H138" s="1">
        <v>451.0</v>
      </c>
      <c r="I138" s="1">
        <v>4.0</v>
      </c>
      <c r="J138" s="3" t="s">
        <v>698</v>
      </c>
      <c r="K138" s="6">
        <f t="shared" si="1"/>
        <v>4.855923159</v>
      </c>
      <c r="L138" s="7">
        <f t="shared" si="2"/>
        <v>887</v>
      </c>
      <c r="M138" s="8">
        <f t="shared" si="3"/>
        <v>45551</v>
      </c>
      <c r="N138" s="9" t="str">
        <f>IFERROR(__xludf.DUMMYFUNCTION("IFS(
REGEXMATCH(LOWER(A138),""option|options""),""Options Strategy Education"",
REGEXMATCH(LOWER(A138),""bank nifty|nifty|index""),""Index Options"",
REGEXMATCH(LOWER(A138),""algo|api|systematic""),""Algo Trading / API Tutorial"",
REGEXMATCH(LOWER(A138),"&amp;"""groww|mtf|margin|pledge""),""Platform / Groww Feature Tutorial"",
REGEXMATCH(LOWER(A138),""candlestick|chart|price action|trendline|rsi|indicator""),""Technical Analysis / Chart Patterns"",
REGEXMATCH(LOWER(A138),""beginner|guide|start trading""),""Begi"&amp;"nner Trading Education"",
REGEXMATCH(LOWER(A138),""interview|journey|talks|wisdom""),""Expert Interview / Trading Insights"",
REGEXMATCH(LOWER(A138),""risk|loss|drawdown|psychology""),""Trading Psychology / Risk Management"",
REGEXMATCH(LOWER(A138),""comm"&amp;"odity|crude|gold|natural gas""),""Commodity Trading Education"",
TRUE,""General Trading Education""
)
"),"Options Strategy Education")</f>
        <v>Options Strategy Education</v>
      </c>
    </row>
    <row r="139" ht="15.75" customHeight="1">
      <c r="A139" s="1" t="s">
        <v>699</v>
      </c>
      <c r="B139" s="3" t="s">
        <v>700</v>
      </c>
      <c r="C139" s="1" t="s">
        <v>701</v>
      </c>
      <c r="D139" s="1" t="s">
        <v>702</v>
      </c>
      <c r="E139" s="4">
        <v>45549.0</v>
      </c>
      <c r="F139" s="12">
        <v>0.048518518518518516</v>
      </c>
      <c r="G139" s="1">
        <v>21973.0</v>
      </c>
      <c r="H139" s="1">
        <v>501.0</v>
      </c>
      <c r="I139" s="1">
        <v>61.0</v>
      </c>
      <c r="J139" s="3" t="s">
        <v>703</v>
      </c>
      <c r="K139" s="6">
        <f t="shared" si="1"/>
        <v>2.557684431</v>
      </c>
      <c r="L139" s="7">
        <f t="shared" si="2"/>
        <v>69.86666667</v>
      </c>
      <c r="M139" s="8">
        <f t="shared" si="3"/>
        <v>45544</v>
      </c>
      <c r="N139" s="9" t="str">
        <f>IFERROR(__xludf.DUMMYFUNCTION("IFS(
REGEXMATCH(LOWER(A139),""option|options""),""Options Strategy Education"",
REGEXMATCH(LOWER(A139),""bank nifty|nifty|index""),""Index Options"",
REGEXMATCH(LOWER(A139),""algo|api|systematic""),""Algo Trading / API Tutorial"",
REGEXMATCH(LOWER(A139),"&amp;"""groww|mtf|margin|pledge""),""Platform / Groww Feature Tutorial"",
REGEXMATCH(LOWER(A139),""candlestick|chart|price action|trendline|rsi|indicator""),""Technical Analysis / Chart Patterns"",
REGEXMATCH(LOWER(A139),""beginner|guide|start trading""),""Begi"&amp;"nner Trading Education"",
REGEXMATCH(LOWER(A139),""interview|journey|talks|wisdom""),""Expert Interview / Trading Insights"",
REGEXMATCH(LOWER(A139),""risk|loss|drawdown|psychology""),""Trading Psychology / Risk Management"",
REGEXMATCH(LOWER(A139),""comm"&amp;"odity|crude|gold|natural gas""),""Commodity Trading Education"",
TRUE,""General Trading Education""
)
"),"Trading Psychology / Risk Management")</f>
        <v>Trading Psychology / Risk Management</v>
      </c>
    </row>
    <row r="140" ht="15.75" customHeight="1">
      <c r="A140" s="1" t="s">
        <v>704</v>
      </c>
      <c r="B140" s="3" t="s">
        <v>705</v>
      </c>
      <c r="C140" s="1" t="s">
        <v>706</v>
      </c>
      <c r="D140" s="1" t="s">
        <v>707</v>
      </c>
      <c r="E140" s="4">
        <v>45546.0</v>
      </c>
      <c r="F140" s="5">
        <v>0.6069444444444444</v>
      </c>
      <c r="G140" s="1">
        <v>5225.0</v>
      </c>
      <c r="H140" s="1">
        <v>241.0</v>
      </c>
      <c r="I140" s="1">
        <v>15.0</v>
      </c>
      <c r="J140" s="3" t="s">
        <v>708</v>
      </c>
      <c r="K140" s="6">
        <f t="shared" si="1"/>
        <v>4.899521531</v>
      </c>
      <c r="L140" s="7">
        <f t="shared" si="2"/>
        <v>874</v>
      </c>
      <c r="M140" s="8">
        <f t="shared" si="3"/>
        <v>45544</v>
      </c>
      <c r="N140" s="9" t="str">
        <f>IFERROR(__xludf.DUMMYFUNCTION("IFS(
REGEXMATCH(LOWER(A140),""option|options""),""Options Strategy Education"",
REGEXMATCH(LOWER(A140),""bank nifty|nifty|index""),""Index Options"",
REGEXMATCH(LOWER(A140),""algo|api|systematic""),""Algo Trading / API Tutorial"",
REGEXMATCH(LOWER(A140),"&amp;"""groww|mtf|margin|pledge""),""Platform / Groww Feature Tutorial"",
REGEXMATCH(LOWER(A140),""candlestick|chart|price action|trendline|rsi|indicator""),""Technical Analysis / Chart Patterns"",
REGEXMATCH(LOWER(A140),""beginner|guide|start trading""),""Begi"&amp;"nner Trading Education"",
REGEXMATCH(LOWER(A140),""interview|journey|talks|wisdom""),""Expert Interview / Trading Insights"",
REGEXMATCH(LOWER(A140),""risk|loss|drawdown|psychology""),""Trading Psychology / Risk Management"",
REGEXMATCH(LOWER(A140),""comm"&amp;"odity|crude|gold|natural gas""),""Commodity Trading Education"",
TRUE,""General Trading Education""
)
"),"Technical Analysis / Chart Patterns")</f>
        <v>Technical Analysis / Chart Patterns</v>
      </c>
    </row>
    <row r="141" ht="15.75" customHeight="1">
      <c r="A141" s="1" t="s">
        <v>709</v>
      </c>
      <c r="B141" s="3" t="s">
        <v>710</v>
      </c>
      <c r="C141" s="1" t="s">
        <v>711</v>
      </c>
      <c r="D141" s="1" t="s">
        <v>712</v>
      </c>
      <c r="E141" s="4">
        <v>45542.0</v>
      </c>
      <c r="F141" s="10">
        <v>2.2395833333333335</v>
      </c>
      <c r="G141" s="1">
        <v>222804.0</v>
      </c>
      <c r="H141" s="1">
        <v>5949.0</v>
      </c>
      <c r="I141" s="1">
        <v>183.0</v>
      </c>
      <c r="J141" s="3" t="s">
        <v>713</v>
      </c>
      <c r="K141" s="6">
        <f t="shared" si="1"/>
        <v>2.752194754</v>
      </c>
      <c r="L141" s="7">
        <f t="shared" si="2"/>
        <v>3225</v>
      </c>
      <c r="M141" s="8">
        <f t="shared" si="3"/>
        <v>45537</v>
      </c>
      <c r="N141" s="9" t="str">
        <f>IFERROR(__xludf.DUMMYFUNCTION("IFS(
REGEXMATCH(LOWER(A141),""option|options""),""Options Strategy Education"",
REGEXMATCH(LOWER(A141),""bank nifty|nifty|index""),""Index Options"",
REGEXMATCH(LOWER(A141),""algo|api|systematic""),""Algo Trading / API Tutorial"",
REGEXMATCH(LOWER(A141),"&amp;"""groww|mtf|margin|pledge""),""Platform / Groww Feature Tutorial"",
REGEXMATCH(LOWER(A141),""candlestick|chart|price action|trendline|rsi|indicator""),""Technical Analysis / Chart Patterns"",
REGEXMATCH(LOWER(A141),""beginner|guide|start trading""),""Begi"&amp;"nner Trading Education"",
REGEXMATCH(LOWER(A141),""interview|journey|talks|wisdom""),""Expert Interview / Trading Insights"",
REGEXMATCH(LOWER(A141),""risk|loss|drawdown|psychology""),""Trading Psychology / Risk Management"",
REGEXMATCH(LOWER(A141),""comm"&amp;"odity|crude|gold|natural gas""),""Commodity Trading Education"",
TRUE,""General Trading Education""
)
"),"General Trading Education")</f>
        <v>General Trading Education</v>
      </c>
    </row>
    <row r="142" ht="15.75" customHeight="1">
      <c r="A142" s="1" t="s">
        <v>714</v>
      </c>
      <c r="B142" s="3" t="s">
        <v>715</v>
      </c>
      <c r="C142" s="1" t="s">
        <v>716</v>
      </c>
      <c r="D142" s="1" t="s">
        <v>717</v>
      </c>
      <c r="E142" s="4">
        <v>45539.0</v>
      </c>
      <c r="F142" s="5">
        <v>0.47152777777777777</v>
      </c>
      <c r="G142" s="1">
        <v>16740.0</v>
      </c>
      <c r="H142" s="1">
        <v>573.0</v>
      </c>
      <c r="I142" s="1">
        <v>30.0</v>
      </c>
      <c r="J142" s="3" t="s">
        <v>718</v>
      </c>
      <c r="K142" s="6">
        <f t="shared" si="1"/>
        <v>3.602150538</v>
      </c>
      <c r="L142" s="7">
        <f t="shared" si="2"/>
        <v>679</v>
      </c>
      <c r="M142" s="8">
        <f t="shared" si="3"/>
        <v>45537</v>
      </c>
      <c r="N142" s="9" t="str">
        <f>IFERROR(__xludf.DUMMYFUNCTION("IFS(
REGEXMATCH(LOWER(A142),""option|options""),""Options Strategy Education"",
REGEXMATCH(LOWER(A142),""bank nifty|nifty|index""),""Index Options"",
REGEXMATCH(LOWER(A142),""algo|api|systematic""),""Algo Trading / API Tutorial"",
REGEXMATCH(LOWER(A142),"&amp;"""groww|mtf|margin|pledge""),""Platform / Groww Feature Tutorial"",
REGEXMATCH(LOWER(A142),""candlestick|chart|price action|trendline|rsi|indicator""),""Technical Analysis / Chart Patterns"",
REGEXMATCH(LOWER(A142),""beginner|guide|start trading""),""Begi"&amp;"nner Trading Education"",
REGEXMATCH(LOWER(A142),""interview|journey|talks|wisdom""),""Expert Interview / Trading Insights"",
REGEXMATCH(LOWER(A142),""risk|loss|drawdown|psychology""),""Trading Psychology / Risk Management"",
REGEXMATCH(LOWER(A142),""comm"&amp;"odity|crude|gold|natural gas""),""Commodity Trading Education"",
TRUE,""General Trading Education""
)
"),"Options Strategy Education")</f>
        <v>Options Strategy Education</v>
      </c>
    </row>
    <row r="143" ht="15.75" customHeight="1">
      <c r="A143" s="1" t="s">
        <v>719</v>
      </c>
      <c r="B143" s="3" t="s">
        <v>720</v>
      </c>
      <c r="C143" s="1" t="s">
        <v>721</v>
      </c>
      <c r="D143" s="1" t="s">
        <v>722</v>
      </c>
      <c r="E143" s="4">
        <v>45535.0</v>
      </c>
      <c r="F143" s="12">
        <v>0.05</v>
      </c>
      <c r="G143" s="1">
        <v>49519.0</v>
      </c>
      <c r="H143" s="1">
        <v>997.0</v>
      </c>
      <c r="I143" s="1">
        <v>82.0</v>
      </c>
      <c r="J143" s="3" t="s">
        <v>723</v>
      </c>
      <c r="K143" s="6">
        <f t="shared" si="1"/>
        <v>2.178961611</v>
      </c>
      <c r="L143" s="7">
        <f t="shared" si="2"/>
        <v>72</v>
      </c>
      <c r="M143" s="8">
        <f t="shared" si="3"/>
        <v>45530</v>
      </c>
      <c r="N143" s="9" t="str">
        <f>IFERROR(__xludf.DUMMYFUNCTION("IFS(
REGEXMATCH(LOWER(A143),""option|options""),""Options Strategy Education"",
REGEXMATCH(LOWER(A143),""bank nifty|nifty|index""),""Index Options"",
REGEXMATCH(LOWER(A143),""algo|api|systematic""),""Algo Trading / API Tutorial"",
REGEXMATCH(LOWER(A143),"&amp;"""groww|mtf|margin|pledge""),""Platform / Groww Feature Tutorial"",
REGEXMATCH(LOWER(A143),""candlestick|chart|price action|trendline|rsi|indicator""),""Technical Analysis / Chart Patterns"",
REGEXMATCH(LOWER(A143),""beginner|guide|start trading""),""Begi"&amp;"nner Trading Education"",
REGEXMATCH(LOWER(A143),""interview|journey|talks|wisdom""),""Expert Interview / Trading Insights"",
REGEXMATCH(LOWER(A143),""risk|loss|drawdown|psychology""),""Trading Psychology / Risk Management"",
REGEXMATCH(LOWER(A143),""comm"&amp;"odity|crude|gold|natural gas""),""Commodity Trading Education"",
TRUE,""General Trading Education""
)
"),"Algo Trading / API Tutorial")</f>
        <v>Algo Trading / API Tutorial</v>
      </c>
    </row>
    <row r="144" ht="15.75" customHeight="1">
      <c r="A144" s="1" t="s">
        <v>724</v>
      </c>
      <c r="B144" s="3" t="s">
        <v>725</v>
      </c>
      <c r="C144" s="1" t="s">
        <v>726</v>
      </c>
      <c r="D144" s="1" t="s">
        <v>727</v>
      </c>
      <c r="E144" s="4">
        <v>45532.0</v>
      </c>
      <c r="F144" s="5">
        <v>0.5125</v>
      </c>
      <c r="G144" s="1">
        <v>8791.0</v>
      </c>
      <c r="H144" s="1">
        <v>576.0</v>
      </c>
      <c r="I144" s="1">
        <v>28.0</v>
      </c>
      <c r="J144" s="3" t="s">
        <v>728</v>
      </c>
      <c r="K144" s="6">
        <f t="shared" si="1"/>
        <v>6.870663178</v>
      </c>
      <c r="L144" s="7">
        <f t="shared" si="2"/>
        <v>738</v>
      </c>
      <c r="M144" s="8">
        <f t="shared" si="3"/>
        <v>45530</v>
      </c>
      <c r="N144" s="9" t="str">
        <f>IFERROR(__xludf.DUMMYFUNCTION("IFS(
REGEXMATCH(LOWER(A144),""option|options""),""Options Strategy Education"",
REGEXMATCH(LOWER(A144),""bank nifty|nifty|index""),""Index Options"",
REGEXMATCH(LOWER(A144),""algo|api|systematic""),""Algo Trading / API Tutorial"",
REGEXMATCH(LOWER(A144),"&amp;"""groww|mtf|margin|pledge""),""Platform / Groww Feature Tutorial"",
REGEXMATCH(LOWER(A144),""candlestick|chart|price action|trendline|rsi|indicator""),""Technical Analysis / Chart Patterns"",
REGEXMATCH(LOWER(A144),""beginner|guide|start trading""),""Begi"&amp;"nner Trading Education"",
REGEXMATCH(LOWER(A144),""interview|journey|talks|wisdom""),""Expert Interview / Trading Insights"",
REGEXMATCH(LOWER(A144),""risk|loss|drawdown|psychology""),""Trading Psychology / Risk Management"",
REGEXMATCH(LOWER(A144),""comm"&amp;"odity|crude|gold|natural gas""),""Commodity Trading Education"",
TRUE,""General Trading Education""
)
"),"General Trading Education")</f>
        <v>General Trading Education</v>
      </c>
    </row>
    <row r="145" ht="15.75" customHeight="1">
      <c r="A145" s="1" t="s">
        <v>729</v>
      </c>
      <c r="B145" s="3" t="s">
        <v>730</v>
      </c>
      <c r="C145" s="1" t="s">
        <v>731</v>
      </c>
      <c r="D145" s="1" t="s">
        <v>732</v>
      </c>
      <c r="E145" s="4">
        <v>45528.0</v>
      </c>
      <c r="F145" s="10">
        <v>1.882638888888889</v>
      </c>
      <c r="G145" s="1">
        <v>1043089.0</v>
      </c>
      <c r="H145" s="1">
        <v>23695.0</v>
      </c>
      <c r="I145" s="1">
        <v>748.0</v>
      </c>
      <c r="J145" s="3" t="s">
        <v>733</v>
      </c>
      <c r="K145" s="6">
        <f t="shared" si="1"/>
        <v>2.343328326</v>
      </c>
      <c r="L145" s="7">
        <f t="shared" si="2"/>
        <v>2711</v>
      </c>
      <c r="M145" s="8">
        <f t="shared" si="3"/>
        <v>45523</v>
      </c>
      <c r="N145" s="9" t="str">
        <f>IFERROR(__xludf.DUMMYFUNCTION("IFS(
REGEXMATCH(LOWER(A145),""option|options""),""Options Strategy Education"",
REGEXMATCH(LOWER(A145),""bank nifty|nifty|index""),""Index Options"",
REGEXMATCH(LOWER(A145),""algo|api|systematic""),""Algo Trading / API Tutorial"",
REGEXMATCH(LOWER(A145),"&amp;"""groww|mtf|margin|pledge""),""Platform / Groww Feature Tutorial"",
REGEXMATCH(LOWER(A145),""candlestick|chart|price action|trendline|rsi|indicator""),""Technical Analysis / Chart Patterns"",
REGEXMATCH(LOWER(A145),""beginner|guide|start trading""),""Begi"&amp;"nner Trading Education"",
REGEXMATCH(LOWER(A145),""interview|journey|talks|wisdom""),""Expert Interview / Trading Insights"",
REGEXMATCH(LOWER(A145),""risk|loss|drawdown|psychology""),""Trading Psychology / Risk Management"",
REGEXMATCH(LOWER(A145),""comm"&amp;"odity|crude|gold|natural gas""),""Commodity Trading Education"",
TRUE,""General Trading Education""
)
"),"Options Strategy Education")</f>
        <v>Options Strategy Education</v>
      </c>
    </row>
    <row r="146" ht="15.75" customHeight="1">
      <c r="A146" s="1" t="s">
        <v>734</v>
      </c>
      <c r="B146" s="3" t="s">
        <v>735</v>
      </c>
      <c r="C146" s="1" t="s">
        <v>736</v>
      </c>
      <c r="D146" s="1" t="s">
        <v>737</v>
      </c>
      <c r="E146" s="4">
        <v>45525.0</v>
      </c>
      <c r="F146" s="5">
        <v>0.42291666666666666</v>
      </c>
      <c r="G146" s="1">
        <v>15487.0</v>
      </c>
      <c r="H146" s="1">
        <v>921.0</v>
      </c>
      <c r="I146" s="1">
        <v>29.0</v>
      </c>
      <c r="J146" s="3" t="s">
        <v>738</v>
      </c>
      <c r="K146" s="6">
        <f t="shared" si="1"/>
        <v>6.134177052</v>
      </c>
      <c r="L146" s="7">
        <f t="shared" si="2"/>
        <v>609</v>
      </c>
      <c r="M146" s="8">
        <f t="shared" si="3"/>
        <v>45523</v>
      </c>
      <c r="N146" s="9" t="str">
        <f>IFERROR(__xludf.DUMMYFUNCTION("IFS(
REGEXMATCH(LOWER(A146),""option|options""),""Options Strategy Education"",
REGEXMATCH(LOWER(A146),""bank nifty|nifty|index""),""Index Options"",
REGEXMATCH(LOWER(A146),""algo|api|systematic""),""Algo Trading / API Tutorial"",
REGEXMATCH(LOWER(A146),"&amp;"""groww|mtf|margin|pledge""),""Platform / Groww Feature Tutorial"",
REGEXMATCH(LOWER(A146),""candlestick|chart|price action|trendline|rsi|indicator""),""Technical Analysis / Chart Patterns"",
REGEXMATCH(LOWER(A146),""beginner|guide|start trading""),""Begi"&amp;"nner Trading Education"",
REGEXMATCH(LOWER(A146),""interview|journey|talks|wisdom""),""Expert Interview / Trading Insights"",
REGEXMATCH(LOWER(A146),""risk|loss|drawdown|psychology""),""Trading Psychology / Risk Management"",
REGEXMATCH(LOWER(A146),""comm"&amp;"odity|crude|gold|natural gas""),""Commodity Trading Education"",
TRUE,""General Trading Education""
)
"),"General Trading Education")</f>
        <v>General Trading Education</v>
      </c>
    </row>
    <row r="147" ht="15.75" customHeight="1">
      <c r="A147" s="1" t="s">
        <v>739</v>
      </c>
      <c r="B147" s="3" t="s">
        <v>740</v>
      </c>
      <c r="C147" s="1" t="s">
        <v>741</v>
      </c>
      <c r="D147" s="1" t="s">
        <v>742</v>
      </c>
      <c r="E147" s="4">
        <v>45521.0</v>
      </c>
      <c r="F147" s="12">
        <v>0.04341435185185185</v>
      </c>
      <c r="G147" s="1">
        <v>112048.0</v>
      </c>
      <c r="H147" s="1">
        <v>2349.0</v>
      </c>
      <c r="I147" s="1">
        <v>127.0</v>
      </c>
      <c r="J147" s="3" t="s">
        <v>743</v>
      </c>
      <c r="K147" s="6">
        <f t="shared" si="1"/>
        <v>2.209767243</v>
      </c>
      <c r="L147" s="7">
        <f t="shared" si="2"/>
        <v>62.51666667</v>
      </c>
      <c r="M147" s="8">
        <f t="shared" si="3"/>
        <v>45516</v>
      </c>
      <c r="N147" s="9" t="str">
        <f>IFERROR(__xludf.DUMMYFUNCTION("IFS(
REGEXMATCH(LOWER(A147),""option|options""),""Options Strategy Education"",
REGEXMATCH(LOWER(A147),""bank nifty|nifty|index""),""Index Options"",
REGEXMATCH(LOWER(A147),""algo|api|systematic""),""Algo Trading / API Tutorial"",
REGEXMATCH(LOWER(A147),"&amp;"""groww|mtf|margin|pledge""),""Platform / Groww Feature Tutorial"",
REGEXMATCH(LOWER(A147),""candlestick|chart|price action|trendline|rsi|indicator""),""Technical Analysis / Chart Patterns"",
REGEXMATCH(LOWER(A147),""beginner|guide|start trading""),""Begi"&amp;"nner Trading Education"",
REGEXMATCH(LOWER(A147),""interview|journey|talks|wisdom""),""Expert Interview / Trading Insights"",
REGEXMATCH(LOWER(A147),""risk|loss|drawdown|psychology""),""Trading Psychology / Risk Management"",
REGEXMATCH(LOWER(A147),""comm"&amp;"odity|crude|gold|natural gas""),""Commodity Trading Education"",
TRUE,""General Trading Education""
)
"),"Options Strategy Education")</f>
        <v>Options Strategy Education</v>
      </c>
    </row>
    <row r="148" ht="15.75" customHeight="1">
      <c r="A148" s="1" t="s">
        <v>744</v>
      </c>
      <c r="B148" s="3" t="s">
        <v>745</v>
      </c>
      <c r="C148" s="1" t="s">
        <v>746</v>
      </c>
      <c r="D148" s="1" t="s">
        <v>747</v>
      </c>
      <c r="E148" s="4">
        <v>45514.0</v>
      </c>
      <c r="F148" s="5">
        <v>0.4618055555555556</v>
      </c>
      <c r="G148" s="1">
        <v>25000.0</v>
      </c>
      <c r="H148" s="1">
        <v>917.0</v>
      </c>
      <c r="I148" s="1">
        <v>20.0</v>
      </c>
      <c r="J148" s="3" t="s">
        <v>748</v>
      </c>
      <c r="K148" s="6">
        <f t="shared" si="1"/>
        <v>3.748</v>
      </c>
      <c r="L148" s="7">
        <f t="shared" si="2"/>
        <v>665</v>
      </c>
      <c r="M148" s="8">
        <f t="shared" si="3"/>
        <v>45509</v>
      </c>
      <c r="N148" s="9" t="str">
        <f>IFERROR(__xludf.DUMMYFUNCTION("IFS(
REGEXMATCH(LOWER(A148),""option|options""),""Options Strategy Education"",
REGEXMATCH(LOWER(A148),""bank nifty|nifty|index""),""Index Options"",
REGEXMATCH(LOWER(A148),""algo|api|systematic""),""Algo Trading / API Tutorial"",
REGEXMATCH(LOWER(A148),"&amp;"""groww|mtf|margin|pledge""),""Platform / Groww Feature Tutorial"",
REGEXMATCH(LOWER(A148),""candlestick|chart|price action|trendline|rsi|indicator""),""Technical Analysis / Chart Patterns"",
REGEXMATCH(LOWER(A148),""beginner|guide|start trading""),""Begi"&amp;"nner Trading Education"",
REGEXMATCH(LOWER(A148),""interview|journey|talks|wisdom""),""Expert Interview / Trading Insights"",
REGEXMATCH(LOWER(A148),""risk|loss|drawdown|psychology""),""Trading Psychology / Risk Management"",
REGEXMATCH(LOWER(A148),""comm"&amp;"odity|crude|gold|natural gas""),""Commodity Trading Education"",
TRUE,""General Trading Education""
)
"),"Beginner Trading Education")</f>
        <v>Beginner Trading Education</v>
      </c>
    </row>
    <row r="149" ht="15.75" customHeight="1">
      <c r="A149" s="1" t="s">
        <v>749</v>
      </c>
      <c r="B149" s="3" t="s">
        <v>750</v>
      </c>
      <c r="C149" s="1" t="s">
        <v>751</v>
      </c>
      <c r="D149" s="1" t="s">
        <v>752</v>
      </c>
      <c r="E149" s="4">
        <v>45506.0</v>
      </c>
      <c r="F149" s="10">
        <v>1.1729166666666666</v>
      </c>
      <c r="G149" s="1">
        <v>16755.0</v>
      </c>
      <c r="H149" s="1">
        <v>447.0</v>
      </c>
      <c r="I149" s="1">
        <v>37.0</v>
      </c>
      <c r="J149" s="3" t="s">
        <v>753</v>
      </c>
      <c r="K149" s="6">
        <f t="shared" si="1"/>
        <v>2.888689943</v>
      </c>
      <c r="L149" s="7">
        <f t="shared" si="2"/>
        <v>1689</v>
      </c>
      <c r="M149" s="8">
        <f t="shared" si="3"/>
        <v>45502</v>
      </c>
      <c r="N149" s="9" t="str">
        <f>IFERROR(__xludf.DUMMYFUNCTION("IFS(
REGEXMATCH(LOWER(A149),""option|options""),""Options Strategy Education"",
REGEXMATCH(LOWER(A149),""bank nifty|nifty|index""),""Index Options"",
REGEXMATCH(LOWER(A149),""algo|api|systematic""),""Algo Trading / API Tutorial"",
REGEXMATCH(LOWER(A149),"&amp;"""groww|mtf|margin|pledge""),""Platform / Groww Feature Tutorial"",
REGEXMATCH(LOWER(A149),""candlestick|chart|price action|trendline|rsi|indicator""),""Technical Analysis / Chart Patterns"",
REGEXMATCH(LOWER(A149),""beginner|guide|start trading""),""Begi"&amp;"nner Trading Education"",
REGEXMATCH(LOWER(A149),""interview|journey|talks|wisdom""),""Expert Interview / Trading Insights"",
REGEXMATCH(LOWER(A149),""risk|loss|drawdown|psychology""),""Trading Psychology / Risk Management"",
REGEXMATCH(LOWER(A149),""comm"&amp;"odity|crude|gold|natural gas""),""Commodity Trading Education"",
TRUE,""General Trading Education""
)
"),"General Trading Education")</f>
        <v>General Trading Education</v>
      </c>
    </row>
    <row r="150" ht="15.75" customHeight="1">
      <c r="A150" s="1" t="s">
        <v>754</v>
      </c>
      <c r="B150" s="3" t="s">
        <v>755</v>
      </c>
      <c r="C150" s="1" t="s">
        <v>756</v>
      </c>
      <c r="D150" s="1" t="s">
        <v>757</v>
      </c>
      <c r="E150" s="4">
        <v>45501.0</v>
      </c>
      <c r="F150" s="12">
        <v>0.05019675925925926</v>
      </c>
      <c r="G150" s="1">
        <v>32334.0</v>
      </c>
      <c r="H150" s="1">
        <v>714.0</v>
      </c>
      <c r="I150" s="1">
        <v>53.0</v>
      </c>
      <c r="J150" s="3" t="s">
        <v>758</v>
      </c>
      <c r="K150" s="6">
        <f t="shared" si="1"/>
        <v>2.372116039</v>
      </c>
      <c r="L150" s="7">
        <f t="shared" si="2"/>
        <v>72.28333333</v>
      </c>
      <c r="M150" s="8">
        <f t="shared" si="3"/>
        <v>45495</v>
      </c>
      <c r="N150" s="9" t="str">
        <f>IFERROR(__xludf.DUMMYFUNCTION("IFS(
REGEXMATCH(LOWER(A150),""option|options""),""Options Strategy Education"",
REGEXMATCH(LOWER(A150),""bank nifty|nifty|index""),""Index Options"",
REGEXMATCH(LOWER(A150),""algo|api|systematic""),""Algo Trading / API Tutorial"",
REGEXMATCH(LOWER(A150),"&amp;"""groww|mtf|margin|pledge""),""Platform / Groww Feature Tutorial"",
REGEXMATCH(LOWER(A150),""candlestick|chart|price action|trendline|rsi|indicator""),""Technical Analysis / Chart Patterns"",
REGEXMATCH(LOWER(A150),""beginner|guide|start trading""),""Begi"&amp;"nner Trading Education"",
REGEXMATCH(LOWER(A150),""interview|journey|talks|wisdom""),""Expert Interview / Trading Insights"",
REGEXMATCH(LOWER(A150),""risk|loss|drawdown|psychology""),""Trading Psychology / Risk Management"",
REGEXMATCH(LOWER(A150),""comm"&amp;"odity|crude|gold|natural gas""),""Commodity Trading Education"",
TRUE,""General Trading Education""
)
"),"Expert Interview / Trading Insights")</f>
        <v>Expert Interview / Trading Insights</v>
      </c>
    </row>
    <row r="151" ht="15.75" customHeight="1">
      <c r="A151" s="1" t="s">
        <v>759</v>
      </c>
      <c r="B151" s="3" t="s">
        <v>760</v>
      </c>
      <c r="C151" s="1" t="s">
        <v>761</v>
      </c>
      <c r="D151" s="1" t="s">
        <v>762</v>
      </c>
      <c r="E151" s="4">
        <v>45492.0</v>
      </c>
      <c r="F151" s="10">
        <v>2.1777777777777776</v>
      </c>
      <c r="G151" s="1">
        <v>193938.0</v>
      </c>
      <c r="H151" s="1">
        <v>4358.0</v>
      </c>
      <c r="I151" s="1">
        <v>179.0</v>
      </c>
      <c r="J151" s="3" t="s">
        <v>763</v>
      </c>
      <c r="K151" s="6">
        <f t="shared" si="1"/>
        <v>2.339407439</v>
      </c>
      <c r="L151" s="7">
        <f t="shared" si="2"/>
        <v>3136</v>
      </c>
      <c r="M151" s="8">
        <f t="shared" si="3"/>
        <v>45488</v>
      </c>
      <c r="N151" s="9" t="str">
        <f>IFERROR(__xludf.DUMMYFUNCTION("IFS(
REGEXMATCH(LOWER(A151),""option|options""),""Options Strategy Education"",
REGEXMATCH(LOWER(A151),""bank nifty|nifty|index""),""Index Options"",
REGEXMATCH(LOWER(A151),""algo|api|systematic""),""Algo Trading / API Tutorial"",
REGEXMATCH(LOWER(A151),"&amp;"""groww|mtf|margin|pledge""),""Platform / Groww Feature Tutorial"",
REGEXMATCH(LOWER(A151),""candlestick|chart|price action|trendline|rsi|indicator""),""Technical Analysis / Chart Patterns"",
REGEXMATCH(LOWER(A151),""beginner|guide|start trading""),""Begi"&amp;"nner Trading Education"",
REGEXMATCH(LOWER(A151),""interview|journey|talks|wisdom""),""Expert Interview / Trading Insights"",
REGEXMATCH(LOWER(A151),""risk|loss|drawdown|psychology""),""Trading Psychology / Risk Management"",
REGEXMATCH(LOWER(A151),""comm"&amp;"odity|crude|gold|natural gas""),""Commodity Trading Education"",
TRUE,""General Trading Education""
)
"),"General Trading Education")</f>
        <v>General Trading Education</v>
      </c>
    </row>
    <row r="152" ht="15.75" customHeight="1">
      <c r="A152" s="1" t="s">
        <v>764</v>
      </c>
      <c r="B152" s="3" t="s">
        <v>765</v>
      </c>
      <c r="C152" s="1" t="s">
        <v>766</v>
      </c>
      <c r="D152" s="1" t="s">
        <v>767</v>
      </c>
      <c r="E152" s="4">
        <v>45487.0</v>
      </c>
      <c r="F152" s="5">
        <v>0.5666666666666667</v>
      </c>
      <c r="G152" s="1">
        <v>8779.0</v>
      </c>
      <c r="H152" s="1">
        <v>296.0</v>
      </c>
      <c r="I152" s="1">
        <v>15.0</v>
      </c>
      <c r="J152" s="3" t="s">
        <v>768</v>
      </c>
      <c r="K152" s="6">
        <f t="shared" si="1"/>
        <v>3.542544709</v>
      </c>
      <c r="L152" s="7">
        <f t="shared" si="2"/>
        <v>816</v>
      </c>
      <c r="M152" s="8">
        <f t="shared" si="3"/>
        <v>45481</v>
      </c>
      <c r="N152" s="9" t="str">
        <f>IFERROR(__xludf.DUMMYFUNCTION("IFS(
REGEXMATCH(LOWER(A152),""option|options""),""Options Strategy Education"",
REGEXMATCH(LOWER(A152),""bank nifty|nifty|index""),""Index Options"",
REGEXMATCH(LOWER(A152),""algo|api|systematic""),""Algo Trading / API Tutorial"",
REGEXMATCH(LOWER(A152),"&amp;"""groww|mtf|margin|pledge""),""Platform / Groww Feature Tutorial"",
REGEXMATCH(LOWER(A152),""candlestick|chart|price action|trendline|rsi|indicator""),""Technical Analysis / Chart Patterns"",
REGEXMATCH(LOWER(A152),""beginner|guide|start trading""),""Begi"&amp;"nner Trading Education"",
REGEXMATCH(LOWER(A152),""interview|journey|talks|wisdom""),""Expert Interview / Trading Insights"",
REGEXMATCH(LOWER(A152),""risk|loss|drawdown|psychology""),""Trading Psychology / Risk Management"",
REGEXMATCH(LOWER(A152),""comm"&amp;"odity|crude|gold|natural gas""),""Commodity Trading Education"",
TRUE,""General Trading Education""
)
"),"General Trading Education")</f>
        <v>General Trading Education</v>
      </c>
    </row>
    <row r="153" ht="15.75" customHeight="1">
      <c r="A153" s="1" t="s">
        <v>769</v>
      </c>
      <c r="B153" s="3" t="s">
        <v>770</v>
      </c>
      <c r="C153" s="1" t="s">
        <v>771</v>
      </c>
      <c r="D153" s="1" t="s">
        <v>772</v>
      </c>
      <c r="E153" s="4">
        <v>45479.0</v>
      </c>
      <c r="F153" s="5">
        <v>0.5236111111111111</v>
      </c>
      <c r="G153" s="1">
        <v>7694.0</v>
      </c>
      <c r="H153" s="1">
        <v>439.0</v>
      </c>
      <c r="I153" s="1">
        <v>30.0</v>
      </c>
      <c r="J153" s="3" t="s">
        <v>773</v>
      </c>
      <c r="K153" s="6">
        <f t="shared" si="1"/>
        <v>6.095658955</v>
      </c>
      <c r="L153" s="7">
        <f t="shared" si="2"/>
        <v>754</v>
      </c>
      <c r="M153" s="8">
        <f t="shared" si="3"/>
        <v>45474</v>
      </c>
      <c r="N153" s="9" t="str">
        <f>IFERROR(__xludf.DUMMYFUNCTION("IFS(
REGEXMATCH(LOWER(A153),""option|options""),""Options Strategy Education"",
REGEXMATCH(LOWER(A153),""bank nifty|nifty|index""),""Index Options"",
REGEXMATCH(LOWER(A153),""algo|api|systematic""),""Algo Trading / API Tutorial"",
REGEXMATCH(LOWER(A153),"&amp;"""groww|mtf|margin|pledge""),""Platform / Groww Feature Tutorial"",
REGEXMATCH(LOWER(A153),""candlestick|chart|price action|trendline|rsi|indicator""),""Technical Analysis / Chart Patterns"",
REGEXMATCH(LOWER(A153),""beginner|guide|start trading""),""Begi"&amp;"nner Trading Education"",
REGEXMATCH(LOWER(A153),""interview|journey|talks|wisdom""),""Expert Interview / Trading Insights"",
REGEXMATCH(LOWER(A153),""risk|loss|drawdown|psychology""),""Trading Psychology / Risk Management"",
REGEXMATCH(LOWER(A153),""comm"&amp;"odity|crude|gold|natural gas""),""Commodity Trading Education"",
TRUE,""General Trading Education""
)
"),"General Trading Education")</f>
        <v>General Trading Education</v>
      </c>
    </row>
    <row r="154" ht="15.75" customHeight="1">
      <c r="A154" s="1" t="s">
        <v>774</v>
      </c>
      <c r="B154" s="3" t="s">
        <v>775</v>
      </c>
      <c r="C154" s="1" t="s">
        <v>776</v>
      </c>
      <c r="D154" s="1" t="s">
        <v>777</v>
      </c>
      <c r="E154" s="4">
        <v>45473.0</v>
      </c>
      <c r="F154" s="5">
        <v>0.7493055555555556</v>
      </c>
      <c r="G154" s="1">
        <v>31186.0</v>
      </c>
      <c r="H154" s="1">
        <v>1985.0</v>
      </c>
      <c r="I154" s="1">
        <v>66.0</v>
      </c>
      <c r="J154" s="3" t="s">
        <v>778</v>
      </c>
      <c r="K154" s="6">
        <f t="shared" si="1"/>
        <v>6.576669018</v>
      </c>
      <c r="L154" s="7">
        <f t="shared" si="2"/>
        <v>1079</v>
      </c>
      <c r="M154" s="8">
        <f t="shared" si="3"/>
        <v>45467</v>
      </c>
      <c r="N154" s="9" t="str">
        <f>IFERROR(__xludf.DUMMYFUNCTION("IFS(
REGEXMATCH(LOWER(A154),""option|options""),""Options Strategy Education"",
REGEXMATCH(LOWER(A154),""bank nifty|nifty|index""),""Index Options"",
REGEXMATCH(LOWER(A154),""algo|api|systematic""),""Algo Trading / API Tutorial"",
REGEXMATCH(LOWER(A154),"&amp;"""groww|mtf|margin|pledge""),""Platform / Groww Feature Tutorial"",
REGEXMATCH(LOWER(A154),""candlestick|chart|price action|trendline|rsi|indicator""),""Technical Analysis / Chart Patterns"",
REGEXMATCH(LOWER(A154),""beginner|guide|start trading""),""Begi"&amp;"nner Trading Education"",
REGEXMATCH(LOWER(A154),""interview|journey|talks|wisdom""),""Expert Interview / Trading Insights"",
REGEXMATCH(LOWER(A154),""risk|loss|drawdown|psychology""),""Trading Psychology / Risk Management"",
REGEXMATCH(LOWER(A154),""comm"&amp;"odity|crude|gold|natural gas""),""Commodity Trading Education"",
TRUE,""General Trading Education""
)
"),"Technical Analysis / Chart Patterns")</f>
        <v>Technical Analysis / Chart Patterns</v>
      </c>
    </row>
    <row r="155" ht="15.75" customHeight="1">
      <c r="A155" s="1" t="s">
        <v>779</v>
      </c>
      <c r="B155" s="3" t="s">
        <v>780</v>
      </c>
      <c r="C155" s="1" t="s">
        <v>781</v>
      </c>
      <c r="D155" s="1" t="s">
        <v>782</v>
      </c>
      <c r="E155" s="4">
        <v>45465.0</v>
      </c>
      <c r="F155" s="10">
        <v>1.38125</v>
      </c>
      <c r="G155" s="1">
        <v>43505.0</v>
      </c>
      <c r="H155" s="1">
        <v>1229.0</v>
      </c>
      <c r="I155" s="1">
        <v>87.0</v>
      </c>
      <c r="J155" s="3" t="s">
        <v>783</v>
      </c>
      <c r="K155" s="6">
        <f t="shared" si="1"/>
        <v>3.024939662</v>
      </c>
      <c r="L155" s="7">
        <f t="shared" si="2"/>
        <v>1989</v>
      </c>
      <c r="M155" s="8">
        <f t="shared" si="3"/>
        <v>45460</v>
      </c>
      <c r="N155" s="9" t="str">
        <f>IFERROR(__xludf.DUMMYFUNCTION("IFS(
REGEXMATCH(LOWER(A155),""option|options""),""Options Strategy Education"",
REGEXMATCH(LOWER(A155),""bank nifty|nifty|index""),""Index Options"",
REGEXMATCH(LOWER(A155),""algo|api|systematic""),""Algo Trading / API Tutorial"",
REGEXMATCH(LOWER(A155),"&amp;"""groww|mtf|margin|pledge""),""Platform / Groww Feature Tutorial"",
REGEXMATCH(LOWER(A155),""candlestick|chart|price action|trendline|rsi|indicator""),""Technical Analysis / Chart Patterns"",
REGEXMATCH(LOWER(A155),""beginner|guide|start trading""),""Begi"&amp;"nner Trading Education"",
REGEXMATCH(LOWER(A155),""interview|journey|talks|wisdom""),""Expert Interview / Trading Insights"",
REGEXMATCH(LOWER(A155),""risk|loss|drawdown|psychology""),""Trading Psychology / Risk Management"",
REGEXMATCH(LOWER(A155),""comm"&amp;"odity|crude|gold|natural gas""),""Commodity Trading Education"",
TRUE,""General Trading Education""
)
"),"General Trading Education")</f>
        <v>General Trading Education</v>
      </c>
    </row>
    <row r="156" ht="15.75" customHeight="1">
      <c r="A156" s="1" t="s">
        <v>784</v>
      </c>
      <c r="B156" s="3" t="s">
        <v>785</v>
      </c>
      <c r="C156" s="1" t="s">
        <v>786</v>
      </c>
      <c r="D156" s="1" t="s">
        <v>787</v>
      </c>
      <c r="E156" s="4">
        <v>45458.0</v>
      </c>
      <c r="F156" s="5">
        <v>0.28402777777777777</v>
      </c>
      <c r="G156" s="1">
        <v>4691.0</v>
      </c>
      <c r="H156" s="1">
        <v>242.0</v>
      </c>
      <c r="I156" s="1">
        <v>14.0</v>
      </c>
      <c r="J156" s="3" t="s">
        <v>788</v>
      </c>
      <c r="K156" s="6">
        <f t="shared" si="1"/>
        <v>5.45725858</v>
      </c>
      <c r="L156" s="7">
        <f t="shared" si="2"/>
        <v>409</v>
      </c>
      <c r="M156" s="8">
        <f t="shared" si="3"/>
        <v>45453</v>
      </c>
      <c r="N156" s="9" t="str">
        <f>IFERROR(__xludf.DUMMYFUNCTION("IFS(
REGEXMATCH(LOWER(A156),""option|options""),""Options Strategy Education"",
REGEXMATCH(LOWER(A156),""bank nifty|nifty|index""),""Index Options"",
REGEXMATCH(LOWER(A156),""algo|api|systematic""),""Algo Trading / API Tutorial"",
REGEXMATCH(LOWER(A156),"&amp;"""groww|mtf|margin|pledge""),""Platform / Groww Feature Tutorial"",
REGEXMATCH(LOWER(A156),""candlestick|chart|price action|trendline|rsi|indicator""),""Technical Analysis / Chart Patterns"",
REGEXMATCH(LOWER(A156),""beginner|guide|start trading""),""Begi"&amp;"nner Trading Education"",
REGEXMATCH(LOWER(A156),""interview|journey|talks|wisdom""),""Expert Interview / Trading Insights"",
REGEXMATCH(LOWER(A156),""risk|loss|drawdown|psychology""),""Trading Psychology / Risk Management"",
REGEXMATCH(LOWER(A156),""comm"&amp;"odity|crude|gold|natural gas""),""Commodity Trading Education"",
TRUE,""General Trading Education""
)
"),"General Trading Education")</f>
        <v>General Trading Education</v>
      </c>
    </row>
    <row r="157" ht="15.75" customHeight="1">
      <c r="A157" s="1" t="s">
        <v>789</v>
      </c>
      <c r="B157" s="3" t="s">
        <v>790</v>
      </c>
      <c r="C157" s="1" t="s">
        <v>791</v>
      </c>
      <c r="D157" s="1" t="s">
        <v>792</v>
      </c>
      <c r="E157" s="4">
        <v>45452.0</v>
      </c>
      <c r="F157" s="5">
        <v>0.8263888888888888</v>
      </c>
      <c r="G157" s="1">
        <v>10417.0</v>
      </c>
      <c r="H157" s="1">
        <v>398.0</v>
      </c>
      <c r="I157" s="1">
        <v>22.0</v>
      </c>
      <c r="J157" s="3" t="s">
        <v>793</v>
      </c>
      <c r="K157" s="6">
        <f t="shared" si="1"/>
        <v>4.03187098</v>
      </c>
      <c r="L157" s="7">
        <f t="shared" si="2"/>
        <v>1190</v>
      </c>
      <c r="M157" s="8">
        <f t="shared" si="3"/>
        <v>45446</v>
      </c>
      <c r="N157" s="9" t="str">
        <f>IFERROR(__xludf.DUMMYFUNCTION("IFS(
REGEXMATCH(LOWER(A157),""option|options""),""Options Strategy Education"",
REGEXMATCH(LOWER(A157),""bank nifty|nifty|index""),""Index Options"",
REGEXMATCH(LOWER(A157),""algo|api|systematic""),""Algo Trading / API Tutorial"",
REGEXMATCH(LOWER(A157),"&amp;"""groww|mtf|margin|pledge""),""Platform / Groww Feature Tutorial"",
REGEXMATCH(LOWER(A157),""candlestick|chart|price action|trendline|rsi|indicator""),""Technical Analysis / Chart Patterns"",
REGEXMATCH(LOWER(A157),""beginner|guide|start trading""),""Begi"&amp;"nner Trading Education"",
REGEXMATCH(LOWER(A157),""interview|journey|talks|wisdom""),""Expert Interview / Trading Insights"",
REGEXMATCH(LOWER(A157),""risk|loss|drawdown|psychology""),""Trading Psychology / Risk Management"",
REGEXMATCH(LOWER(A157),""comm"&amp;"odity|crude|gold|natural gas""),""Commodity Trading Education"",
TRUE,""General Trading Education""
)
"),"Trading Psychology / Risk Management")</f>
        <v>Trading Psychology / Risk Management</v>
      </c>
    </row>
    <row r="158" ht="15.75" customHeight="1">
      <c r="A158" s="1" t="s">
        <v>794</v>
      </c>
      <c r="B158" s="3" t="s">
        <v>795</v>
      </c>
      <c r="C158" s="1" t="s">
        <v>796</v>
      </c>
      <c r="D158" s="1" t="s">
        <v>797</v>
      </c>
      <c r="E158" s="4">
        <v>45446.0</v>
      </c>
      <c r="F158" s="5">
        <v>0.42777777777777776</v>
      </c>
      <c r="G158" s="1">
        <v>7753.0</v>
      </c>
      <c r="H158" s="1">
        <v>274.0</v>
      </c>
      <c r="I158" s="1">
        <v>13.0</v>
      </c>
      <c r="J158" s="3" t="s">
        <v>798</v>
      </c>
      <c r="K158" s="6">
        <f t="shared" si="1"/>
        <v>3.701792854</v>
      </c>
      <c r="L158" s="7">
        <f t="shared" si="2"/>
        <v>616</v>
      </c>
      <c r="M158" s="8">
        <f t="shared" si="3"/>
        <v>45446</v>
      </c>
      <c r="N158" s="9" t="str">
        <f>IFERROR(__xludf.DUMMYFUNCTION("IFS(
REGEXMATCH(LOWER(A158),""option|options""),""Options Strategy Education"",
REGEXMATCH(LOWER(A158),""bank nifty|nifty|index""),""Index Options"",
REGEXMATCH(LOWER(A158),""algo|api|systematic""),""Algo Trading / API Tutorial"",
REGEXMATCH(LOWER(A158),"&amp;"""groww|mtf|margin|pledge""),""Platform / Groww Feature Tutorial"",
REGEXMATCH(LOWER(A158),""candlestick|chart|price action|trendline|rsi|indicator""),""Technical Analysis / Chart Patterns"",
REGEXMATCH(LOWER(A158),""beginner|guide|start trading""),""Begi"&amp;"nner Trading Education"",
REGEXMATCH(LOWER(A158),""interview|journey|talks|wisdom""),""Expert Interview / Trading Insights"",
REGEXMATCH(LOWER(A158),""risk|loss|drawdown|psychology""),""Trading Psychology / Risk Management"",
REGEXMATCH(LOWER(A158),""comm"&amp;"odity|crude|gold|natural gas""),""Commodity Trading Education"",
TRUE,""General Trading Education""
)
"),"Options Strategy Education")</f>
        <v>Options Strategy Education</v>
      </c>
    </row>
    <row r="159" ht="15.75" customHeight="1">
      <c r="A159" s="1" t="s">
        <v>799</v>
      </c>
      <c r="B159" s="3" t="s">
        <v>800</v>
      </c>
      <c r="C159" s="1" t="s">
        <v>801</v>
      </c>
      <c r="D159" s="1" t="s">
        <v>802</v>
      </c>
      <c r="E159" s="4">
        <v>45442.0</v>
      </c>
      <c r="F159" s="5">
        <v>0.4625</v>
      </c>
      <c r="G159" s="1">
        <v>13241.0</v>
      </c>
      <c r="H159" s="1">
        <v>446.0</v>
      </c>
      <c r="I159" s="1">
        <v>18.0</v>
      </c>
      <c r="J159" s="3" t="s">
        <v>803</v>
      </c>
      <c r="K159" s="6">
        <f t="shared" si="1"/>
        <v>3.504267049</v>
      </c>
      <c r="L159" s="7">
        <f t="shared" si="2"/>
        <v>666</v>
      </c>
      <c r="M159" s="8">
        <f t="shared" si="3"/>
        <v>45439</v>
      </c>
      <c r="N159" s="9" t="str">
        <f>IFERROR(__xludf.DUMMYFUNCTION("IFS(
REGEXMATCH(LOWER(A159),""option|options""),""Options Strategy Education"",
REGEXMATCH(LOWER(A159),""bank nifty|nifty|index""),""Index Options"",
REGEXMATCH(LOWER(A159),""algo|api|systematic""),""Algo Trading / API Tutorial"",
REGEXMATCH(LOWER(A159),"&amp;"""groww|mtf|margin|pledge""),""Platform / Groww Feature Tutorial"",
REGEXMATCH(LOWER(A159),""candlestick|chart|price action|trendline|rsi|indicator""),""Technical Analysis / Chart Patterns"",
REGEXMATCH(LOWER(A159),""beginner|guide|start trading""),""Begi"&amp;"nner Trading Education"",
REGEXMATCH(LOWER(A159),""interview|journey|talks|wisdom""),""Expert Interview / Trading Insights"",
REGEXMATCH(LOWER(A159),""risk|loss|drawdown|psychology""),""Trading Psychology / Risk Management"",
REGEXMATCH(LOWER(A159),""comm"&amp;"odity|crude|gold|natural gas""),""Commodity Trading Education"",
TRUE,""General Trading Education""
)
"),"General Trading Education")</f>
        <v>General Trading Education</v>
      </c>
    </row>
    <row r="160" ht="15.75" customHeight="1">
      <c r="A160" s="1" t="s">
        <v>804</v>
      </c>
      <c r="B160" s="3" t="s">
        <v>805</v>
      </c>
      <c r="C160" s="1" t="s">
        <v>806</v>
      </c>
      <c r="D160" s="1" t="s">
        <v>807</v>
      </c>
      <c r="E160" s="4">
        <v>45440.0</v>
      </c>
      <c r="F160" s="5">
        <v>0.4965277777777778</v>
      </c>
      <c r="G160" s="1">
        <v>9694.0</v>
      </c>
      <c r="H160" s="1">
        <v>402.0</v>
      </c>
      <c r="I160" s="1">
        <v>31.0</v>
      </c>
      <c r="J160" s="3" t="s">
        <v>808</v>
      </c>
      <c r="K160" s="6">
        <f t="shared" si="1"/>
        <v>4.466680421</v>
      </c>
      <c r="L160" s="7">
        <f t="shared" si="2"/>
        <v>715</v>
      </c>
      <c r="M160" s="8">
        <f t="shared" si="3"/>
        <v>45439</v>
      </c>
      <c r="N160" s="9" t="str">
        <f>IFERROR(__xludf.DUMMYFUNCTION("IFS(
REGEXMATCH(LOWER(A160),""option|options""),""Options Strategy Education"",
REGEXMATCH(LOWER(A160),""bank nifty|nifty|index""),""Index Options"",
REGEXMATCH(LOWER(A160),""algo|api|systematic""),""Algo Trading / API Tutorial"",
REGEXMATCH(LOWER(A160),"&amp;"""groww|mtf|margin|pledge""),""Platform / Groww Feature Tutorial"",
REGEXMATCH(LOWER(A160),""candlestick|chart|price action|trendline|rsi|indicator""),""Technical Analysis / Chart Patterns"",
REGEXMATCH(LOWER(A160),""beginner|guide|start trading""),""Begi"&amp;"nner Trading Education"",
REGEXMATCH(LOWER(A160),""interview|journey|talks|wisdom""),""Expert Interview / Trading Insights"",
REGEXMATCH(LOWER(A160),""risk|loss|drawdown|psychology""),""Trading Psychology / Risk Management"",
REGEXMATCH(LOWER(A160),""comm"&amp;"odity|crude|gold|natural gas""),""Commodity Trading Education"",
TRUE,""General Trading Education""
)
"),"General Trading Education")</f>
        <v>General Trading Education</v>
      </c>
    </row>
    <row r="161" ht="15.75" customHeight="1">
      <c r="A161" s="1" t="s">
        <v>809</v>
      </c>
      <c r="B161" s="3" t="s">
        <v>810</v>
      </c>
      <c r="C161" s="1" t="s">
        <v>811</v>
      </c>
      <c r="D161" s="1" t="s">
        <v>812</v>
      </c>
      <c r="E161" s="4">
        <v>45437.0</v>
      </c>
      <c r="F161" s="5">
        <v>0.5979166666666667</v>
      </c>
      <c r="G161" s="1">
        <v>5824.0</v>
      </c>
      <c r="H161" s="1">
        <v>271.0</v>
      </c>
      <c r="I161" s="1">
        <v>11.0</v>
      </c>
      <c r="J161" s="3" t="s">
        <v>813</v>
      </c>
      <c r="K161" s="6">
        <f t="shared" si="1"/>
        <v>4.842032967</v>
      </c>
      <c r="L161" s="7">
        <f t="shared" si="2"/>
        <v>861</v>
      </c>
      <c r="M161" s="8">
        <f t="shared" si="3"/>
        <v>45432</v>
      </c>
      <c r="N161" s="9" t="str">
        <f>IFERROR(__xludf.DUMMYFUNCTION("IFS(
REGEXMATCH(LOWER(A161),""option|options""),""Options Strategy Education"",
REGEXMATCH(LOWER(A161),""bank nifty|nifty|index""),""Index Options"",
REGEXMATCH(LOWER(A161),""algo|api|systematic""),""Algo Trading / API Tutorial"",
REGEXMATCH(LOWER(A161),"&amp;"""groww|mtf|margin|pledge""),""Platform / Groww Feature Tutorial"",
REGEXMATCH(LOWER(A161),""candlestick|chart|price action|trendline|rsi|indicator""),""Technical Analysis / Chart Patterns"",
REGEXMATCH(LOWER(A161),""beginner|guide|start trading""),""Begi"&amp;"nner Trading Education"",
REGEXMATCH(LOWER(A161),""interview|journey|talks|wisdom""),""Expert Interview / Trading Insights"",
REGEXMATCH(LOWER(A161),""risk|loss|drawdown|psychology""),""Trading Psychology / Risk Management"",
REGEXMATCH(LOWER(A161),""comm"&amp;"odity|crude|gold|natural gas""),""Commodity Trading Education"",
TRUE,""General Trading Education""
)
"),"General Trading Education")</f>
        <v>General Trading Education</v>
      </c>
    </row>
    <row r="162" ht="15.75" customHeight="1">
      <c r="A162" s="1" t="s">
        <v>814</v>
      </c>
      <c r="B162" s="3" t="s">
        <v>815</v>
      </c>
      <c r="C162" s="1" t="s">
        <v>816</v>
      </c>
      <c r="D162" s="1" t="s">
        <v>817</v>
      </c>
      <c r="E162" s="4">
        <v>45435.0</v>
      </c>
      <c r="F162" s="5">
        <v>0.9152777777777777</v>
      </c>
      <c r="G162" s="1">
        <v>18468.0</v>
      </c>
      <c r="H162" s="1">
        <v>551.0</v>
      </c>
      <c r="I162" s="1">
        <v>18.0</v>
      </c>
      <c r="J162" s="3" t="s">
        <v>818</v>
      </c>
      <c r="K162" s="6">
        <f t="shared" si="1"/>
        <v>3.081004982</v>
      </c>
      <c r="L162" s="7">
        <f t="shared" si="2"/>
        <v>1318</v>
      </c>
      <c r="M162" s="8">
        <f t="shared" si="3"/>
        <v>45432</v>
      </c>
      <c r="N162" s="9" t="str">
        <f>IFERROR(__xludf.DUMMYFUNCTION("IFS(
REGEXMATCH(LOWER(A162),""option|options""),""Options Strategy Education"",
REGEXMATCH(LOWER(A162),""bank nifty|nifty|index""),""Index Options"",
REGEXMATCH(LOWER(A162),""algo|api|systematic""),""Algo Trading / API Tutorial"",
REGEXMATCH(LOWER(A162),"&amp;"""groww|mtf|margin|pledge""),""Platform / Groww Feature Tutorial"",
REGEXMATCH(LOWER(A162),""candlestick|chart|price action|trendline|rsi|indicator""),""Technical Analysis / Chart Patterns"",
REGEXMATCH(LOWER(A162),""beginner|guide|start trading""),""Begi"&amp;"nner Trading Education"",
REGEXMATCH(LOWER(A162),""interview|journey|talks|wisdom""),""Expert Interview / Trading Insights"",
REGEXMATCH(LOWER(A162),""risk|loss|drawdown|psychology""),""Trading Psychology / Risk Management"",
REGEXMATCH(LOWER(A162),""comm"&amp;"odity|crude|gold|natural gas""),""Commodity Trading Education"",
TRUE,""General Trading Education""
)
"),"General Trading Education")</f>
        <v>General Trading Education</v>
      </c>
    </row>
    <row r="163" ht="15.75" customHeight="1">
      <c r="A163" s="1" t="s">
        <v>819</v>
      </c>
      <c r="B163" s="3" t="s">
        <v>820</v>
      </c>
      <c r="C163" s="1" t="s">
        <v>821</v>
      </c>
      <c r="D163" s="1" t="s">
        <v>822</v>
      </c>
      <c r="E163" s="4">
        <v>45433.0</v>
      </c>
      <c r="F163" s="5">
        <v>0.6104166666666667</v>
      </c>
      <c r="G163" s="1">
        <v>5758.0</v>
      </c>
      <c r="H163" s="1">
        <v>272.0</v>
      </c>
      <c r="I163" s="1">
        <v>22.0</v>
      </c>
      <c r="J163" s="3" t="s">
        <v>823</v>
      </c>
      <c r="K163" s="6">
        <f t="shared" si="1"/>
        <v>5.105939562</v>
      </c>
      <c r="L163" s="7">
        <f t="shared" si="2"/>
        <v>879</v>
      </c>
      <c r="M163" s="8">
        <f t="shared" si="3"/>
        <v>45432</v>
      </c>
      <c r="N163" s="9" t="str">
        <f>IFERROR(__xludf.DUMMYFUNCTION("IFS(
REGEXMATCH(LOWER(A163),""option|options""),""Options Strategy Education"",
REGEXMATCH(LOWER(A163),""bank nifty|nifty|index""),""Index Options"",
REGEXMATCH(LOWER(A163),""algo|api|systematic""),""Algo Trading / API Tutorial"",
REGEXMATCH(LOWER(A163),"&amp;"""groww|mtf|margin|pledge""),""Platform / Groww Feature Tutorial"",
REGEXMATCH(LOWER(A163),""candlestick|chart|price action|trendline|rsi|indicator""),""Technical Analysis / Chart Patterns"",
REGEXMATCH(LOWER(A163),""beginner|guide|start trading""),""Begi"&amp;"nner Trading Education"",
REGEXMATCH(LOWER(A163),""interview|journey|talks|wisdom""),""Expert Interview / Trading Insights"",
REGEXMATCH(LOWER(A163),""risk|loss|drawdown|psychology""),""Trading Psychology / Risk Management"",
REGEXMATCH(LOWER(A163),""comm"&amp;"odity|crude|gold|natural gas""),""Commodity Trading Education"",
TRUE,""General Trading Education""
)
"),"Options Strategy Education")</f>
        <v>Options Strategy Education</v>
      </c>
    </row>
    <row r="164" ht="15.75" customHeight="1">
      <c r="A164" s="1" t="s">
        <v>824</v>
      </c>
      <c r="B164" s="3" t="s">
        <v>825</v>
      </c>
      <c r="C164" s="1" t="s">
        <v>826</v>
      </c>
      <c r="D164" s="1" t="s">
        <v>827</v>
      </c>
      <c r="E164" s="4">
        <v>45430.0</v>
      </c>
      <c r="F164" s="5">
        <v>0.5909722222222222</v>
      </c>
      <c r="G164" s="1">
        <v>27888.0</v>
      </c>
      <c r="H164" s="1">
        <v>1215.0</v>
      </c>
      <c r="I164" s="1">
        <v>50.0</v>
      </c>
      <c r="J164" s="3" t="s">
        <v>828</v>
      </c>
      <c r="K164" s="6">
        <f t="shared" si="1"/>
        <v>4.536001147</v>
      </c>
      <c r="L164" s="7">
        <f t="shared" si="2"/>
        <v>851</v>
      </c>
      <c r="M164" s="8">
        <f t="shared" si="3"/>
        <v>45425</v>
      </c>
      <c r="N164" s="9" t="str">
        <f>IFERROR(__xludf.DUMMYFUNCTION("IFS(
REGEXMATCH(LOWER(A164),""option|options""),""Options Strategy Education"",
REGEXMATCH(LOWER(A164),""bank nifty|nifty|index""),""Index Options"",
REGEXMATCH(LOWER(A164),""algo|api|systematic""),""Algo Trading / API Tutorial"",
REGEXMATCH(LOWER(A164),"&amp;"""groww|mtf|margin|pledge""),""Platform / Groww Feature Tutorial"",
REGEXMATCH(LOWER(A164),""candlestick|chart|price action|trendline|rsi|indicator""),""Technical Analysis / Chart Patterns"",
REGEXMATCH(LOWER(A164),""beginner|guide|start trading""),""Begi"&amp;"nner Trading Education"",
REGEXMATCH(LOWER(A164),""interview|journey|talks|wisdom""),""Expert Interview / Trading Insights"",
REGEXMATCH(LOWER(A164),""risk|loss|drawdown|psychology""),""Trading Psychology / Risk Management"",
REGEXMATCH(LOWER(A164),""comm"&amp;"odity|crude|gold|natural gas""),""Commodity Trading Education"",
TRUE,""General Trading Education""
)
"),"General Trading Education")</f>
        <v>General Trading Education</v>
      </c>
    </row>
    <row r="165" ht="15.75" customHeight="1">
      <c r="A165" s="1" t="s">
        <v>829</v>
      </c>
      <c r="B165" s="3" t="s">
        <v>830</v>
      </c>
      <c r="C165" s="1" t="s">
        <v>831</v>
      </c>
      <c r="D165" s="1" t="s">
        <v>832</v>
      </c>
      <c r="E165" s="4">
        <v>45428.0</v>
      </c>
      <c r="F165" s="5">
        <v>0.7020833333333333</v>
      </c>
      <c r="G165" s="1">
        <v>13788.0</v>
      </c>
      <c r="H165" s="1">
        <v>720.0</v>
      </c>
      <c r="I165" s="1">
        <v>37.0</v>
      </c>
      <c r="J165" s="3" t="s">
        <v>833</v>
      </c>
      <c r="K165" s="6">
        <f t="shared" si="1"/>
        <v>5.490281404</v>
      </c>
      <c r="L165" s="7">
        <f t="shared" si="2"/>
        <v>1011</v>
      </c>
      <c r="M165" s="8">
        <f t="shared" si="3"/>
        <v>45425</v>
      </c>
      <c r="N165" s="9" t="str">
        <f>IFERROR(__xludf.DUMMYFUNCTION("IFS(
REGEXMATCH(LOWER(A165),""option|options""),""Options Strategy Education"",
REGEXMATCH(LOWER(A165),""bank nifty|nifty|index""),""Index Options"",
REGEXMATCH(LOWER(A165),""algo|api|systematic""),""Algo Trading / API Tutorial"",
REGEXMATCH(LOWER(A165),"&amp;"""groww|mtf|margin|pledge""),""Platform / Groww Feature Tutorial"",
REGEXMATCH(LOWER(A165),""candlestick|chart|price action|trendline|rsi|indicator""),""Technical Analysis / Chart Patterns"",
REGEXMATCH(LOWER(A165),""beginner|guide|start trading""),""Begi"&amp;"nner Trading Education"",
REGEXMATCH(LOWER(A165),""interview|journey|talks|wisdom""),""Expert Interview / Trading Insights"",
REGEXMATCH(LOWER(A165),""risk|loss|drawdown|psychology""),""Trading Psychology / Risk Management"",
REGEXMATCH(LOWER(A165),""comm"&amp;"odity|crude|gold|natural gas""),""Commodity Trading Education"",
TRUE,""General Trading Education""
)
"),"General Trading Education")</f>
        <v>General Trading Education</v>
      </c>
    </row>
    <row r="166" ht="15.75" customHeight="1">
      <c r="A166" s="1" t="s">
        <v>834</v>
      </c>
      <c r="B166" s="3" t="s">
        <v>835</v>
      </c>
      <c r="C166" s="1" t="s">
        <v>836</v>
      </c>
      <c r="D166" s="1" t="s">
        <v>837</v>
      </c>
      <c r="E166" s="4">
        <v>45426.0</v>
      </c>
      <c r="F166" s="5">
        <v>0.42291666666666666</v>
      </c>
      <c r="G166" s="1">
        <v>10117.0</v>
      </c>
      <c r="H166" s="1">
        <v>339.0</v>
      </c>
      <c r="I166" s="1">
        <v>16.0</v>
      </c>
      <c r="J166" s="3" t="s">
        <v>838</v>
      </c>
      <c r="K166" s="6">
        <f t="shared" si="1"/>
        <v>3.50894534</v>
      </c>
      <c r="L166" s="7">
        <f t="shared" si="2"/>
        <v>609</v>
      </c>
      <c r="M166" s="8">
        <f t="shared" si="3"/>
        <v>45425</v>
      </c>
      <c r="N166" s="9" t="str">
        <f>IFERROR(__xludf.DUMMYFUNCTION("IFS(
REGEXMATCH(LOWER(A166),""option|options""),""Options Strategy Education"",
REGEXMATCH(LOWER(A166),""bank nifty|nifty|index""),""Index Options"",
REGEXMATCH(LOWER(A166),""algo|api|systematic""),""Algo Trading / API Tutorial"",
REGEXMATCH(LOWER(A166),"&amp;"""groww|mtf|margin|pledge""),""Platform / Groww Feature Tutorial"",
REGEXMATCH(LOWER(A166),""candlestick|chart|price action|trendline|rsi|indicator""),""Technical Analysis / Chart Patterns"",
REGEXMATCH(LOWER(A166),""beginner|guide|start trading""),""Begi"&amp;"nner Trading Education"",
REGEXMATCH(LOWER(A166),""interview|journey|talks|wisdom""),""Expert Interview / Trading Insights"",
REGEXMATCH(LOWER(A166),""risk|loss|drawdown|psychology""),""Trading Psychology / Risk Management"",
REGEXMATCH(LOWER(A166),""comm"&amp;"odity|crude|gold|natural gas""),""Commodity Trading Education"",
TRUE,""General Trading Education""
)
"),"General Trading Education")</f>
        <v>General Trading Education</v>
      </c>
    </row>
    <row r="167" ht="15.75" customHeight="1">
      <c r="A167" s="1" t="s">
        <v>839</v>
      </c>
      <c r="B167" s="3" t="s">
        <v>840</v>
      </c>
      <c r="C167" s="1" t="s">
        <v>841</v>
      </c>
      <c r="D167" s="1" t="s">
        <v>842</v>
      </c>
      <c r="E167" s="4">
        <v>45423.0</v>
      </c>
      <c r="F167" s="10">
        <v>1.525</v>
      </c>
      <c r="G167" s="1">
        <v>20758.0</v>
      </c>
      <c r="H167" s="1">
        <v>690.0</v>
      </c>
      <c r="I167" s="1">
        <v>43.0</v>
      </c>
      <c r="J167" s="3" t="s">
        <v>843</v>
      </c>
      <c r="K167" s="6">
        <f t="shared" si="1"/>
        <v>3.531168706</v>
      </c>
      <c r="L167" s="7">
        <f t="shared" si="2"/>
        <v>2196</v>
      </c>
      <c r="M167" s="8">
        <f t="shared" si="3"/>
        <v>45418</v>
      </c>
      <c r="N167" s="9" t="str">
        <f>IFERROR(__xludf.DUMMYFUNCTION("IFS(
REGEXMATCH(LOWER(A167),""option|options""),""Options Strategy Education"",
REGEXMATCH(LOWER(A167),""bank nifty|nifty|index""),""Index Options"",
REGEXMATCH(LOWER(A167),""algo|api|systematic""),""Algo Trading / API Tutorial"",
REGEXMATCH(LOWER(A167),"&amp;"""groww|mtf|margin|pledge""),""Platform / Groww Feature Tutorial"",
REGEXMATCH(LOWER(A167),""candlestick|chart|price action|trendline|rsi|indicator""),""Technical Analysis / Chart Patterns"",
REGEXMATCH(LOWER(A167),""beginner|guide|start trading""),""Begi"&amp;"nner Trading Education"",
REGEXMATCH(LOWER(A167),""interview|journey|talks|wisdom""),""Expert Interview / Trading Insights"",
REGEXMATCH(LOWER(A167),""risk|loss|drawdown|psychology""),""Trading Psychology / Risk Management"",
REGEXMATCH(LOWER(A167),""comm"&amp;"odity|crude|gold|natural gas""),""Commodity Trading Education"",
TRUE,""General Trading Education""
)
"),"General Trading Education")</f>
        <v>General Trading Education</v>
      </c>
    </row>
    <row r="168" ht="15.75" customHeight="1">
      <c r="A168" s="1" t="s">
        <v>844</v>
      </c>
      <c r="B168" s="3" t="s">
        <v>845</v>
      </c>
      <c r="C168" s="1" t="s">
        <v>846</v>
      </c>
      <c r="D168" s="1" t="s">
        <v>847</v>
      </c>
      <c r="E168" s="4">
        <v>45421.0</v>
      </c>
      <c r="F168" s="5">
        <v>0.5527777777777778</v>
      </c>
      <c r="G168" s="1">
        <v>19959.0</v>
      </c>
      <c r="H168" s="1">
        <v>937.0</v>
      </c>
      <c r="I168" s="1">
        <v>65.0</v>
      </c>
      <c r="J168" s="3" t="s">
        <v>848</v>
      </c>
      <c r="K168" s="6">
        <f t="shared" si="1"/>
        <v>5.020291598</v>
      </c>
      <c r="L168" s="7">
        <f t="shared" si="2"/>
        <v>796</v>
      </c>
      <c r="M168" s="8">
        <f t="shared" si="3"/>
        <v>45418</v>
      </c>
      <c r="N168" s="9" t="str">
        <f>IFERROR(__xludf.DUMMYFUNCTION("IFS(
REGEXMATCH(LOWER(A168),""option|options""),""Options Strategy Education"",
REGEXMATCH(LOWER(A168),""bank nifty|nifty|index""),""Index Options"",
REGEXMATCH(LOWER(A168),""algo|api|systematic""),""Algo Trading / API Tutorial"",
REGEXMATCH(LOWER(A168),"&amp;"""groww|mtf|margin|pledge""),""Platform / Groww Feature Tutorial"",
REGEXMATCH(LOWER(A168),""candlestick|chart|price action|trendline|rsi|indicator""),""Technical Analysis / Chart Patterns"",
REGEXMATCH(LOWER(A168),""beginner|guide|start trading""),""Begi"&amp;"nner Trading Education"",
REGEXMATCH(LOWER(A168),""interview|journey|talks|wisdom""),""Expert Interview / Trading Insights"",
REGEXMATCH(LOWER(A168),""risk|loss|drawdown|psychology""),""Trading Psychology / Risk Management"",
REGEXMATCH(LOWER(A168),""comm"&amp;"odity|crude|gold|natural gas""),""Commodity Trading Education"",
TRUE,""General Trading Education""
)
"),"Technical Analysis / Chart Patterns")</f>
        <v>Technical Analysis / Chart Patterns</v>
      </c>
    </row>
    <row r="169" ht="15.75" customHeight="1">
      <c r="A169" s="1" t="s">
        <v>849</v>
      </c>
      <c r="B169" s="3" t="s">
        <v>850</v>
      </c>
      <c r="C169" s="1" t="s">
        <v>851</v>
      </c>
      <c r="D169" s="1" t="s">
        <v>852</v>
      </c>
      <c r="E169" s="4">
        <v>45419.0</v>
      </c>
      <c r="F169" s="5">
        <v>0.8097222222222222</v>
      </c>
      <c r="G169" s="1">
        <v>127771.0</v>
      </c>
      <c r="H169" s="1">
        <v>3227.0</v>
      </c>
      <c r="I169" s="1">
        <v>60.0</v>
      </c>
      <c r="J169" s="3" t="s">
        <v>853</v>
      </c>
      <c r="K169" s="6">
        <f t="shared" si="1"/>
        <v>2.572571241</v>
      </c>
      <c r="L169" s="7">
        <f t="shared" si="2"/>
        <v>1166</v>
      </c>
      <c r="M169" s="8">
        <f t="shared" si="3"/>
        <v>45418</v>
      </c>
      <c r="N169" s="9" t="str">
        <f>IFERROR(__xludf.DUMMYFUNCTION("IFS(
REGEXMATCH(LOWER(A169),""option|options""),""Options Strategy Education"",
REGEXMATCH(LOWER(A169),""bank nifty|nifty|index""),""Index Options"",
REGEXMATCH(LOWER(A169),""algo|api|systematic""),""Algo Trading / API Tutorial"",
REGEXMATCH(LOWER(A169),"&amp;"""groww|mtf|margin|pledge""),""Platform / Groww Feature Tutorial"",
REGEXMATCH(LOWER(A169),""candlestick|chart|price action|trendline|rsi|indicator""),""Technical Analysis / Chart Patterns"",
REGEXMATCH(LOWER(A169),""beginner|guide|start trading""),""Begi"&amp;"nner Trading Education"",
REGEXMATCH(LOWER(A169),""interview|journey|talks|wisdom""),""Expert Interview / Trading Insights"",
REGEXMATCH(LOWER(A169),""risk|loss|drawdown|psychology""),""Trading Psychology / Risk Management"",
REGEXMATCH(LOWER(A169),""comm"&amp;"odity|crude|gold|natural gas""),""Commodity Trading Education"",
TRUE,""General Trading Education""
)
"),"Beginner Trading Education")</f>
        <v>Beginner Trading Education</v>
      </c>
    </row>
    <row r="170" ht="15.75" customHeight="1">
      <c r="A170" s="1" t="s">
        <v>854</v>
      </c>
      <c r="B170" s="3" t="s">
        <v>855</v>
      </c>
      <c r="C170" s="1" t="s">
        <v>856</v>
      </c>
      <c r="D170" s="1" t="s">
        <v>857</v>
      </c>
      <c r="E170" s="4">
        <v>45416.0</v>
      </c>
      <c r="F170" s="5">
        <v>0.81875</v>
      </c>
      <c r="G170" s="1">
        <v>8273.0</v>
      </c>
      <c r="H170" s="1">
        <v>391.0</v>
      </c>
      <c r="I170" s="1">
        <v>23.0</v>
      </c>
      <c r="J170" s="3" t="s">
        <v>858</v>
      </c>
      <c r="K170" s="6">
        <f t="shared" si="1"/>
        <v>5.00423063</v>
      </c>
      <c r="L170" s="7">
        <f t="shared" si="2"/>
        <v>1179</v>
      </c>
      <c r="M170" s="8">
        <f t="shared" si="3"/>
        <v>45411</v>
      </c>
      <c r="N170" s="9" t="str">
        <f>IFERROR(__xludf.DUMMYFUNCTION("IFS(
REGEXMATCH(LOWER(A170),""option|options""),""Options Strategy Education"",
REGEXMATCH(LOWER(A170),""bank nifty|nifty|index""),""Index Options"",
REGEXMATCH(LOWER(A170),""algo|api|systematic""),""Algo Trading / API Tutorial"",
REGEXMATCH(LOWER(A170),"&amp;"""groww|mtf|margin|pledge""),""Platform / Groww Feature Tutorial"",
REGEXMATCH(LOWER(A170),""candlestick|chart|price action|trendline|rsi|indicator""),""Technical Analysis / Chart Patterns"",
REGEXMATCH(LOWER(A170),""beginner|guide|start trading""),""Begi"&amp;"nner Trading Education"",
REGEXMATCH(LOWER(A170),""interview|journey|talks|wisdom""),""Expert Interview / Trading Insights"",
REGEXMATCH(LOWER(A170),""risk|loss|drawdown|psychology""),""Trading Psychology / Risk Management"",
REGEXMATCH(LOWER(A170),""comm"&amp;"odity|crude|gold|natural gas""),""Commodity Trading Education"",
TRUE,""General Trading Education""
)
"),"Index Options")</f>
        <v>Index Options</v>
      </c>
    </row>
    <row r="171" ht="15.75" customHeight="1">
      <c r="A171" s="1" t="s">
        <v>859</v>
      </c>
      <c r="B171" s="3" t="s">
        <v>860</v>
      </c>
      <c r="C171" s="1" t="s">
        <v>861</v>
      </c>
      <c r="D171" s="1" t="s">
        <v>862</v>
      </c>
      <c r="E171" s="4">
        <v>45414.0</v>
      </c>
      <c r="F171" s="5">
        <v>0.5833333333333334</v>
      </c>
      <c r="G171" s="1">
        <v>18374.0</v>
      </c>
      <c r="H171" s="1">
        <v>836.0</v>
      </c>
      <c r="I171" s="1">
        <v>25.0</v>
      </c>
      <c r="J171" s="3" t="s">
        <v>863</v>
      </c>
      <c r="K171" s="6">
        <f t="shared" si="1"/>
        <v>4.685969304</v>
      </c>
      <c r="L171" s="7">
        <f t="shared" si="2"/>
        <v>840</v>
      </c>
      <c r="M171" s="8">
        <f t="shared" si="3"/>
        <v>45411</v>
      </c>
      <c r="N171" s="9" t="str">
        <f>IFERROR(__xludf.DUMMYFUNCTION("IFS(
REGEXMATCH(LOWER(A171),""option|options""),""Options Strategy Education"",
REGEXMATCH(LOWER(A171),""bank nifty|nifty|index""),""Index Options"",
REGEXMATCH(LOWER(A171),""algo|api|systematic""),""Algo Trading / API Tutorial"",
REGEXMATCH(LOWER(A171),"&amp;"""groww|mtf|margin|pledge""),""Platform / Groww Feature Tutorial"",
REGEXMATCH(LOWER(A171),""candlestick|chart|price action|trendline|rsi|indicator""),""Technical Analysis / Chart Patterns"",
REGEXMATCH(LOWER(A171),""beginner|guide|start trading""),""Begi"&amp;"nner Trading Education"",
REGEXMATCH(LOWER(A171),""interview|journey|talks|wisdom""),""Expert Interview / Trading Insights"",
REGEXMATCH(LOWER(A171),""risk|loss|drawdown|psychology""),""Trading Psychology / Risk Management"",
REGEXMATCH(LOWER(A171),""comm"&amp;"odity|crude|gold|natural gas""),""Commodity Trading Education"",
TRUE,""General Trading Education""
)
"),"General Trading Education")</f>
        <v>General Trading Education</v>
      </c>
    </row>
    <row r="172" ht="15.75" customHeight="1">
      <c r="A172" s="1" t="s">
        <v>864</v>
      </c>
      <c r="B172" s="3" t="s">
        <v>865</v>
      </c>
      <c r="C172" s="1" t="s">
        <v>866</v>
      </c>
      <c r="D172" s="1" t="s">
        <v>867</v>
      </c>
      <c r="E172" s="4">
        <v>45412.0</v>
      </c>
      <c r="F172" s="5">
        <v>0.7729166666666667</v>
      </c>
      <c r="G172" s="1">
        <v>9929.0</v>
      </c>
      <c r="H172" s="1">
        <v>232.0</v>
      </c>
      <c r="I172" s="1">
        <v>22.0</v>
      </c>
      <c r="J172" s="3" t="s">
        <v>868</v>
      </c>
      <c r="K172" s="6">
        <f t="shared" si="1"/>
        <v>2.558162957</v>
      </c>
      <c r="L172" s="7">
        <f t="shared" si="2"/>
        <v>1113</v>
      </c>
      <c r="M172" s="8">
        <f t="shared" si="3"/>
        <v>45411</v>
      </c>
      <c r="N172" s="9" t="str">
        <f>IFERROR(__xludf.DUMMYFUNCTION("IFS(
REGEXMATCH(LOWER(A172),""option|options""),""Options Strategy Education"",
REGEXMATCH(LOWER(A172),""bank nifty|nifty|index""),""Index Options"",
REGEXMATCH(LOWER(A172),""algo|api|systematic""),""Algo Trading / API Tutorial"",
REGEXMATCH(LOWER(A172),"&amp;"""groww|mtf|margin|pledge""),""Platform / Groww Feature Tutorial"",
REGEXMATCH(LOWER(A172),""candlestick|chart|price action|trendline|rsi|indicator""),""Technical Analysis / Chart Patterns"",
REGEXMATCH(LOWER(A172),""beginner|guide|start trading""),""Begi"&amp;"nner Trading Education"",
REGEXMATCH(LOWER(A172),""interview|journey|talks|wisdom""),""Expert Interview / Trading Insights"",
REGEXMATCH(LOWER(A172),""risk|loss|drawdown|psychology""),""Trading Psychology / Risk Management"",
REGEXMATCH(LOWER(A172),""comm"&amp;"odity|crude|gold|natural gas""),""Commodity Trading Education"",
TRUE,""General Trading Education""
)
"),"Options Strategy Education")</f>
        <v>Options Strategy Education</v>
      </c>
    </row>
    <row r="173" ht="15.75" customHeight="1">
      <c r="A173" s="1" t="s">
        <v>869</v>
      </c>
      <c r="B173" s="3" t="s">
        <v>870</v>
      </c>
      <c r="C173" s="1" t="s">
        <v>871</v>
      </c>
      <c r="D173" s="1" t="s">
        <v>872</v>
      </c>
      <c r="E173" s="4">
        <v>45409.0</v>
      </c>
      <c r="F173" s="5">
        <v>0.7416666666666667</v>
      </c>
      <c r="G173" s="1">
        <v>27995.0</v>
      </c>
      <c r="H173" s="1">
        <v>1076.0</v>
      </c>
      <c r="I173" s="1">
        <v>33.0</v>
      </c>
      <c r="J173" s="3" t="s">
        <v>873</v>
      </c>
      <c r="K173" s="6">
        <f t="shared" si="1"/>
        <v>3.961421682</v>
      </c>
      <c r="L173" s="7">
        <f t="shared" si="2"/>
        <v>1068</v>
      </c>
      <c r="M173" s="8">
        <f t="shared" si="3"/>
        <v>45404</v>
      </c>
      <c r="N173" s="9" t="str">
        <f>IFERROR(__xludf.DUMMYFUNCTION("IFS(
REGEXMATCH(LOWER(A173),""option|options""),""Options Strategy Education"",
REGEXMATCH(LOWER(A173),""bank nifty|nifty|index""),""Index Options"",
REGEXMATCH(LOWER(A173),""algo|api|systematic""),""Algo Trading / API Tutorial"",
REGEXMATCH(LOWER(A173),"&amp;"""groww|mtf|margin|pledge""),""Platform / Groww Feature Tutorial"",
REGEXMATCH(LOWER(A173),""candlestick|chart|price action|trendline|rsi|indicator""),""Technical Analysis / Chart Patterns"",
REGEXMATCH(LOWER(A173),""beginner|guide|start trading""),""Begi"&amp;"nner Trading Education"",
REGEXMATCH(LOWER(A173),""interview|journey|talks|wisdom""),""Expert Interview / Trading Insights"",
REGEXMATCH(LOWER(A173),""risk|loss|drawdown|psychology""),""Trading Psychology / Risk Management"",
REGEXMATCH(LOWER(A173),""comm"&amp;"odity|crude|gold|natural gas""),""Commodity Trading Education"",
TRUE,""General Trading Education""
)
"),"Beginner Trading Education")</f>
        <v>Beginner Trading Education</v>
      </c>
    </row>
    <row r="174" ht="15.75" customHeight="1">
      <c r="A174" s="1" t="s">
        <v>874</v>
      </c>
      <c r="B174" s="3" t="s">
        <v>875</v>
      </c>
      <c r="C174" s="1" t="s">
        <v>876</v>
      </c>
      <c r="D174" s="1" t="s">
        <v>877</v>
      </c>
      <c r="E174" s="4">
        <v>45407.0</v>
      </c>
      <c r="F174" s="5">
        <v>0.7138888888888889</v>
      </c>
      <c r="G174" s="1">
        <v>3511.0</v>
      </c>
      <c r="H174" s="1">
        <v>123.0</v>
      </c>
      <c r="I174" s="1">
        <v>5.0</v>
      </c>
      <c r="J174" s="3" t="s">
        <v>878</v>
      </c>
      <c r="K174" s="6">
        <f t="shared" si="1"/>
        <v>3.64568499</v>
      </c>
      <c r="L174" s="7">
        <f t="shared" si="2"/>
        <v>1028</v>
      </c>
      <c r="M174" s="8">
        <f t="shared" si="3"/>
        <v>45404</v>
      </c>
      <c r="N174" s="9" t="str">
        <f>IFERROR(__xludf.DUMMYFUNCTION("IFS(
REGEXMATCH(LOWER(A174),""option|options""),""Options Strategy Education"",
REGEXMATCH(LOWER(A174),""bank nifty|nifty|index""),""Index Options"",
REGEXMATCH(LOWER(A174),""algo|api|systematic""),""Algo Trading / API Tutorial"",
REGEXMATCH(LOWER(A174),"&amp;"""groww|mtf|margin|pledge""),""Platform / Groww Feature Tutorial"",
REGEXMATCH(LOWER(A174),""candlestick|chart|price action|trendline|rsi|indicator""),""Technical Analysis / Chart Patterns"",
REGEXMATCH(LOWER(A174),""beginner|guide|start trading""),""Begi"&amp;"nner Trading Education"",
REGEXMATCH(LOWER(A174),""interview|journey|talks|wisdom""),""Expert Interview / Trading Insights"",
REGEXMATCH(LOWER(A174),""risk|loss|drawdown|psychology""),""Trading Psychology / Risk Management"",
REGEXMATCH(LOWER(A174),""comm"&amp;"odity|crude|gold|natural gas""),""Commodity Trading Education"",
TRUE,""General Trading Education""
)
"),"Options Strategy Education")</f>
        <v>Options Strategy Education</v>
      </c>
    </row>
    <row r="175" ht="15.75" customHeight="1">
      <c r="A175" s="1" t="s">
        <v>879</v>
      </c>
      <c r="B175" s="3" t="s">
        <v>880</v>
      </c>
      <c r="C175" s="1" t="s">
        <v>881</v>
      </c>
      <c r="D175" s="1" t="s">
        <v>882</v>
      </c>
      <c r="E175" s="4">
        <v>45405.0</v>
      </c>
      <c r="F175" s="5">
        <v>0.5944444444444444</v>
      </c>
      <c r="G175" s="1">
        <v>17219.0</v>
      </c>
      <c r="H175" s="1">
        <v>844.0</v>
      </c>
      <c r="I175" s="1">
        <v>35.0</v>
      </c>
      <c r="J175" s="3" t="s">
        <v>883</v>
      </c>
      <c r="K175" s="6">
        <f t="shared" si="1"/>
        <v>5.104826064</v>
      </c>
      <c r="L175" s="7">
        <f t="shared" si="2"/>
        <v>856</v>
      </c>
      <c r="M175" s="8">
        <f t="shared" si="3"/>
        <v>45404</v>
      </c>
      <c r="N175" s="9" t="str">
        <f>IFERROR(__xludf.DUMMYFUNCTION("IFS(
REGEXMATCH(LOWER(A175),""option|options""),""Options Strategy Education"",
REGEXMATCH(LOWER(A175),""bank nifty|nifty|index""),""Index Options"",
REGEXMATCH(LOWER(A175),""algo|api|systematic""),""Algo Trading / API Tutorial"",
REGEXMATCH(LOWER(A175),"&amp;"""groww|mtf|margin|pledge""),""Platform / Groww Feature Tutorial"",
REGEXMATCH(LOWER(A175),""candlestick|chart|price action|trendline|rsi|indicator""),""Technical Analysis / Chart Patterns"",
REGEXMATCH(LOWER(A175),""beginner|guide|start trading""),""Begi"&amp;"nner Trading Education"",
REGEXMATCH(LOWER(A175),""interview|journey|talks|wisdom""),""Expert Interview / Trading Insights"",
REGEXMATCH(LOWER(A175),""risk|loss|drawdown|psychology""),""Trading Psychology / Risk Management"",
REGEXMATCH(LOWER(A175),""comm"&amp;"odity|crude|gold|natural gas""),""Commodity Trading Education"",
TRUE,""General Trading Education""
)
"),"Beginner Trading Education")</f>
        <v>Beginner Trading Education</v>
      </c>
    </row>
    <row r="176" ht="15.75" customHeight="1">
      <c r="A176" s="1" t="s">
        <v>884</v>
      </c>
      <c r="B176" s="3" t="s">
        <v>885</v>
      </c>
      <c r="C176" s="1" t="s">
        <v>886</v>
      </c>
      <c r="D176" s="1" t="s">
        <v>887</v>
      </c>
      <c r="E176" s="4">
        <v>45402.0</v>
      </c>
      <c r="F176" s="10">
        <v>1.398611111111111</v>
      </c>
      <c r="G176" s="1">
        <v>16408.0</v>
      </c>
      <c r="H176" s="1">
        <v>526.0</v>
      </c>
      <c r="I176" s="1">
        <v>28.0</v>
      </c>
      <c r="J176" s="3" t="s">
        <v>888</v>
      </c>
      <c r="K176" s="6">
        <f t="shared" si="1"/>
        <v>3.376401755</v>
      </c>
      <c r="L176" s="7">
        <f t="shared" si="2"/>
        <v>2014</v>
      </c>
      <c r="M176" s="8">
        <f t="shared" si="3"/>
        <v>45397</v>
      </c>
      <c r="N176" s="9" t="str">
        <f>IFERROR(__xludf.DUMMYFUNCTION("IFS(
REGEXMATCH(LOWER(A176),""option|options""),""Options Strategy Education"",
REGEXMATCH(LOWER(A176),""bank nifty|nifty|index""),""Index Options"",
REGEXMATCH(LOWER(A176),""algo|api|systematic""),""Algo Trading / API Tutorial"",
REGEXMATCH(LOWER(A176),"&amp;"""groww|mtf|margin|pledge""),""Platform / Groww Feature Tutorial"",
REGEXMATCH(LOWER(A176),""candlestick|chart|price action|trendline|rsi|indicator""),""Technical Analysis / Chart Patterns"",
REGEXMATCH(LOWER(A176),""beginner|guide|start trading""),""Begi"&amp;"nner Trading Education"",
REGEXMATCH(LOWER(A176),""interview|journey|talks|wisdom""),""Expert Interview / Trading Insights"",
REGEXMATCH(LOWER(A176),""risk|loss|drawdown|psychology""),""Trading Psychology / Risk Management"",
REGEXMATCH(LOWER(A176),""comm"&amp;"odity|crude|gold|natural gas""),""Commodity Trading Education"",
TRUE,""General Trading Education""
)
"),"General Trading Education")</f>
        <v>General Trading Education</v>
      </c>
    </row>
    <row r="177" ht="15.75" customHeight="1">
      <c r="A177" s="1" t="s">
        <v>889</v>
      </c>
      <c r="B177" s="3" t="s">
        <v>890</v>
      </c>
      <c r="C177" s="1" t="s">
        <v>891</v>
      </c>
      <c r="D177" s="1" t="s">
        <v>892</v>
      </c>
      <c r="E177" s="4">
        <v>45400.0</v>
      </c>
      <c r="F177" s="5">
        <v>0.7631944444444444</v>
      </c>
      <c r="G177" s="1">
        <v>4747.0</v>
      </c>
      <c r="H177" s="1">
        <v>251.0</v>
      </c>
      <c r="I177" s="1">
        <v>13.0</v>
      </c>
      <c r="J177" s="3" t="s">
        <v>893</v>
      </c>
      <c r="K177" s="6">
        <f t="shared" si="1"/>
        <v>5.561407205</v>
      </c>
      <c r="L177" s="7">
        <f t="shared" si="2"/>
        <v>1099</v>
      </c>
      <c r="M177" s="8">
        <f t="shared" si="3"/>
        <v>45397</v>
      </c>
      <c r="N177" s="9" t="str">
        <f>IFERROR(__xludf.DUMMYFUNCTION("IFS(
REGEXMATCH(LOWER(A177),""option|options""),""Options Strategy Education"",
REGEXMATCH(LOWER(A177),""bank nifty|nifty|index""),""Index Options"",
REGEXMATCH(LOWER(A177),""algo|api|systematic""),""Algo Trading / API Tutorial"",
REGEXMATCH(LOWER(A177),"&amp;"""groww|mtf|margin|pledge""),""Platform / Groww Feature Tutorial"",
REGEXMATCH(LOWER(A177),""candlestick|chart|price action|trendline|rsi|indicator""),""Technical Analysis / Chart Patterns"",
REGEXMATCH(LOWER(A177),""beginner|guide|start trading""),""Begi"&amp;"nner Trading Education"",
REGEXMATCH(LOWER(A177),""interview|journey|talks|wisdom""),""Expert Interview / Trading Insights"",
REGEXMATCH(LOWER(A177),""risk|loss|drawdown|psychology""),""Trading Psychology / Risk Management"",
REGEXMATCH(LOWER(A177),""comm"&amp;"odity|crude|gold|natural gas""),""Commodity Trading Education"",
TRUE,""General Trading Education""
)
"),"General Trading Education")</f>
        <v>General Trading Education</v>
      </c>
    </row>
    <row r="178" ht="15.75" customHeight="1">
      <c r="A178" s="1" t="s">
        <v>894</v>
      </c>
      <c r="B178" s="3" t="s">
        <v>895</v>
      </c>
      <c r="C178" s="1" t="s">
        <v>896</v>
      </c>
      <c r="D178" s="1" t="s">
        <v>897</v>
      </c>
      <c r="E178" s="4">
        <v>45398.0</v>
      </c>
      <c r="F178" s="5">
        <v>0.7826388888888889</v>
      </c>
      <c r="G178" s="1">
        <v>12365.0</v>
      </c>
      <c r="H178" s="1">
        <v>548.0</v>
      </c>
      <c r="I178" s="1">
        <v>25.0</v>
      </c>
      <c r="J178" s="3" t="s">
        <v>898</v>
      </c>
      <c r="K178" s="6">
        <f t="shared" si="1"/>
        <v>4.634047715</v>
      </c>
      <c r="L178" s="7">
        <f t="shared" si="2"/>
        <v>1127</v>
      </c>
      <c r="M178" s="8">
        <f t="shared" si="3"/>
        <v>45397</v>
      </c>
      <c r="N178" s="9" t="str">
        <f>IFERROR(__xludf.DUMMYFUNCTION("IFS(
REGEXMATCH(LOWER(A178),""option|options""),""Options Strategy Education"",
REGEXMATCH(LOWER(A178),""bank nifty|nifty|index""),""Index Options"",
REGEXMATCH(LOWER(A178),""algo|api|systematic""),""Algo Trading / API Tutorial"",
REGEXMATCH(LOWER(A178),"&amp;"""groww|mtf|margin|pledge""),""Platform / Groww Feature Tutorial"",
REGEXMATCH(LOWER(A178),""candlestick|chart|price action|trendline|rsi|indicator""),""Technical Analysis / Chart Patterns"",
REGEXMATCH(LOWER(A178),""beginner|guide|start trading""),""Begi"&amp;"nner Trading Education"",
REGEXMATCH(LOWER(A178),""interview|journey|talks|wisdom""),""Expert Interview / Trading Insights"",
REGEXMATCH(LOWER(A178),""risk|loss|drawdown|psychology""),""Trading Psychology / Risk Management"",
REGEXMATCH(LOWER(A178),""comm"&amp;"odity|crude|gold|natural gas""),""Commodity Trading Education"",
TRUE,""General Trading Education""
)
"),"Options Strategy Education")</f>
        <v>Options Strategy Education</v>
      </c>
    </row>
    <row r="179" ht="15.75" customHeight="1">
      <c r="A179" s="1" t="s">
        <v>899</v>
      </c>
      <c r="B179" s="3" t="s">
        <v>900</v>
      </c>
      <c r="C179" s="1" t="s">
        <v>901</v>
      </c>
      <c r="D179" s="1" t="s">
        <v>902</v>
      </c>
      <c r="E179" s="4">
        <v>45395.0</v>
      </c>
      <c r="F179" s="10">
        <v>1.0868055555555556</v>
      </c>
      <c r="G179" s="1">
        <v>20016.0</v>
      </c>
      <c r="H179" s="1">
        <v>786.0</v>
      </c>
      <c r="I179" s="1">
        <v>30.0</v>
      </c>
      <c r="J179" s="3" t="s">
        <v>903</v>
      </c>
      <c r="K179" s="6">
        <f t="shared" si="1"/>
        <v>4.076738609</v>
      </c>
      <c r="L179" s="7">
        <f t="shared" si="2"/>
        <v>1565</v>
      </c>
      <c r="M179" s="8">
        <f t="shared" si="3"/>
        <v>45390</v>
      </c>
      <c r="N179" s="9" t="str">
        <f>IFERROR(__xludf.DUMMYFUNCTION("IFS(
REGEXMATCH(LOWER(A179),""option|options""),""Options Strategy Education"",
REGEXMATCH(LOWER(A179),""bank nifty|nifty|index""),""Index Options"",
REGEXMATCH(LOWER(A179),""algo|api|systematic""),""Algo Trading / API Tutorial"",
REGEXMATCH(LOWER(A179),"&amp;"""groww|mtf|margin|pledge""),""Platform / Groww Feature Tutorial"",
REGEXMATCH(LOWER(A179),""candlestick|chart|price action|trendline|rsi|indicator""),""Technical Analysis / Chart Patterns"",
REGEXMATCH(LOWER(A179),""beginner|guide|start trading""),""Begi"&amp;"nner Trading Education"",
REGEXMATCH(LOWER(A179),""interview|journey|talks|wisdom""),""Expert Interview / Trading Insights"",
REGEXMATCH(LOWER(A179),""risk|loss|drawdown|psychology""),""Trading Psychology / Risk Management"",
REGEXMATCH(LOWER(A179),""comm"&amp;"odity|crude|gold|natural gas""),""Commodity Trading Education"",
TRUE,""General Trading Education""
)
"),"Options Strategy Education")</f>
        <v>Options Strategy Education</v>
      </c>
    </row>
    <row r="180" ht="15.75" customHeight="1">
      <c r="A180" s="1" t="s">
        <v>904</v>
      </c>
      <c r="B180" s="3" t="s">
        <v>905</v>
      </c>
      <c r="C180" s="1" t="s">
        <v>906</v>
      </c>
      <c r="D180" s="1" t="s">
        <v>907</v>
      </c>
      <c r="E180" s="4">
        <v>45393.0</v>
      </c>
      <c r="F180" s="5">
        <v>0.46041666666666664</v>
      </c>
      <c r="G180" s="1">
        <v>4942.0</v>
      </c>
      <c r="H180" s="1">
        <v>178.0</v>
      </c>
      <c r="I180" s="1">
        <v>12.0</v>
      </c>
      <c r="J180" s="3" t="s">
        <v>908</v>
      </c>
      <c r="K180" s="6">
        <f t="shared" si="1"/>
        <v>3.844597329</v>
      </c>
      <c r="L180" s="7">
        <f t="shared" si="2"/>
        <v>663</v>
      </c>
      <c r="M180" s="8">
        <f t="shared" si="3"/>
        <v>45390</v>
      </c>
      <c r="N180" s="9" t="str">
        <f>IFERROR(__xludf.DUMMYFUNCTION("IFS(
REGEXMATCH(LOWER(A180),""option|options""),""Options Strategy Education"",
REGEXMATCH(LOWER(A180),""bank nifty|nifty|index""),""Index Options"",
REGEXMATCH(LOWER(A180),""algo|api|systematic""),""Algo Trading / API Tutorial"",
REGEXMATCH(LOWER(A180),"&amp;"""groww|mtf|margin|pledge""),""Platform / Groww Feature Tutorial"",
REGEXMATCH(LOWER(A180),""candlestick|chart|price action|trendline|rsi|indicator""),""Technical Analysis / Chart Patterns"",
REGEXMATCH(LOWER(A180),""beginner|guide|start trading""),""Begi"&amp;"nner Trading Education"",
REGEXMATCH(LOWER(A180),""interview|journey|talks|wisdom""),""Expert Interview / Trading Insights"",
REGEXMATCH(LOWER(A180),""risk|loss|drawdown|psychology""),""Trading Psychology / Risk Management"",
REGEXMATCH(LOWER(A180),""comm"&amp;"odity|crude|gold|natural gas""),""Commodity Trading Education"",
TRUE,""General Trading Education""
)
"),"General Trading Education")</f>
        <v>General Trading Education</v>
      </c>
    </row>
    <row r="181" ht="15.75" customHeight="1">
      <c r="A181" s="1" t="s">
        <v>909</v>
      </c>
      <c r="B181" s="3" t="s">
        <v>910</v>
      </c>
      <c r="C181" s="1" t="s">
        <v>911</v>
      </c>
      <c r="D181" s="1" t="s">
        <v>912</v>
      </c>
      <c r="E181" s="4">
        <v>45391.0</v>
      </c>
      <c r="F181" s="5">
        <v>0.7513888888888889</v>
      </c>
      <c r="G181" s="1">
        <v>12461.0</v>
      </c>
      <c r="H181" s="1">
        <v>484.0</v>
      </c>
      <c r="I181" s="1">
        <v>19.0</v>
      </c>
      <c r="J181" s="3" t="s">
        <v>913</v>
      </c>
      <c r="K181" s="6">
        <f t="shared" si="1"/>
        <v>4.036594174</v>
      </c>
      <c r="L181" s="7">
        <f t="shared" si="2"/>
        <v>1082</v>
      </c>
      <c r="M181" s="8">
        <f t="shared" si="3"/>
        <v>45390</v>
      </c>
      <c r="N181" s="9" t="str">
        <f>IFERROR(__xludf.DUMMYFUNCTION("IFS(
REGEXMATCH(LOWER(A181),""option|options""),""Options Strategy Education"",
REGEXMATCH(LOWER(A181),""bank nifty|nifty|index""),""Index Options"",
REGEXMATCH(LOWER(A181),""algo|api|systematic""),""Algo Trading / API Tutorial"",
REGEXMATCH(LOWER(A181),"&amp;"""groww|mtf|margin|pledge""),""Platform / Groww Feature Tutorial"",
REGEXMATCH(LOWER(A181),""candlestick|chart|price action|trendline|rsi|indicator""),""Technical Analysis / Chart Patterns"",
REGEXMATCH(LOWER(A181),""beginner|guide|start trading""),""Begi"&amp;"nner Trading Education"",
REGEXMATCH(LOWER(A181),""interview|journey|talks|wisdom""),""Expert Interview / Trading Insights"",
REGEXMATCH(LOWER(A181),""risk|loss|drawdown|psychology""),""Trading Psychology / Risk Management"",
REGEXMATCH(LOWER(A181),""comm"&amp;"odity|crude|gold|natural gas""),""Commodity Trading Education"",
TRUE,""General Trading Education""
)
"),"Options Strategy Education")</f>
        <v>Options Strategy Education</v>
      </c>
    </row>
    <row r="182" ht="15.75" customHeight="1">
      <c r="A182" s="1" t="s">
        <v>914</v>
      </c>
      <c r="B182" s="3" t="s">
        <v>915</v>
      </c>
      <c r="C182" s="1" t="s">
        <v>916</v>
      </c>
      <c r="D182" s="1" t="s">
        <v>917</v>
      </c>
      <c r="E182" s="4">
        <v>45388.0</v>
      </c>
      <c r="F182" s="10">
        <v>1.5145833333333334</v>
      </c>
      <c r="G182" s="1">
        <v>25472.0</v>
      </c>
      <c r="H182" s="1">
        <v>807.0</v>
      </c>
      <c r="I182" s="1">
        <v>34.0</v>
      </c>
      <c r="J182" s="3" t="s">
        <v>918</v>
      </c>
      <c r="K182" s="6">
        <f t="shared" si="1"/>
        <v>3.301664573</v>
      </c>
      <c r="L182" s="7">
        <f t="shared" si="2"/>
        <v>2181</v>
      </c>
      <c r="M182" s="8">
        <f t="shared" si="3"/>
        <v>45383</v>
      </c>
      <c r="N182" s="9" t="str">
        <f>IFERROR(__xludf.DUMMYFUNCTION("IFS(
REGEXMATCH(LOWER(A182),""option|options""),""Options Strategy Education"",
REGEXMATCH(LOWER(A182),""bank nifty|nifty|index""),""Index Options"",
REGEXMATCH(LOWER(A182),""algo|api|systematic""),""Algo Trading / API Tutorial"",
REGEXMATCH(LOWER(A182),"&amp;"""groww|mtf|margin|pledge""),""Platform / Groww Feature Tutorial"",
REGEXMATCH(LOWER(A182),""candlestick|chart|price action|trendline|rsi|indicator""),""Technical Analysis / Chart Patterns"",
REGEXMATCH(LOWER(A182),""beginner|guide|start trading""),""Begi"&amp;"nner Trading Education"",
REGEXMATCH(LOWER(A182),""interview|journey|talks|wisdom""),""Expert Interview / Trading Insights"",
REGEXMATCH(LOWER(A182),""risk|loss|drawdown|psychology""),""Trading Psychology / Risk Management"",
REGEXMATCH(LOWER(A182),""comm"&amp;"odity|crude|gold|natural gas""),""Commodity Trading Education"",
TRUE,""General Trading Education""
)
"),"Options Strategy Education")</f>
        <v>Options Strategy Education</v>
      </c>
    </row>
    <row r="183" ht="15.75" customHeight="1">
      <c r="A183" s="1" t="s">
        <v>919</v>
      </c>
      <c r="B183" s="3" t="s">
        <v>920</v>
      </c>
      <c r="C183" s="1" t="s">
        <v>921</v>
      </c>
      <c r="D183" s="1" t="s">
        <v>922</v>
      </c>
      <c r="E183" s="4">
        <v>45386.0</v>
      </c>
      <c r="F183" s="5">
        <v>0.6826388888888889</v>
      </c>
      <c r="G183" s="1">
        <v>5384.0</v>
      </c>
      <c r="H183" s="1">
        <v>235.0</v>
      </c>
      <c r="I183" s="1">
        <v>12.0</v>
      </c>
      <c r="J183" s="3" t="s">
        <v>923</v>
      </c>
      <c r="K183" s="6">
        <f t="shared" si="1"/>
        <v>4.587667162</v>
      </c>
      <c r="L183" s="7">
        <f t="shared" si="2"/>
        <v>983</v>
      </c>
      <c r="M183" s="8">
        <f t="shared" si="3"/>
        <v>45383</v>
      </c>
      <c r="N183" s="9" t="str">
        <f>IFERROR(__xludf.DUMMYFUNCTION("IFS(
REGEXMATCH(LOWER(A183),""option|options""),""Options Strategy Education"",
REGEXMATCH(LOWER(A183),""bank nifty|nifty|index""),""Index Options"",
REGEXMATCH(LOWER(A183),""algo|api|systematic""),""Algo Trading / API Tutorial"",
REGEXMATCH(LOWER(A183),"&amp;"""groww|mtf|margin|pledge""),""Platform / Groww Feature Tutorial"",
REGEXMATCH(LOWER(A183),""candlestick|chart|price action|trendline|rsi|indicator""),""Technical Analysis / Chart Patterns"",
REGEXMATCH(LOWER(A183),""beginner|guide|start trading""),""Begi"&amp;"nner Trading Education"",
REGEXMATCH(LOWER(A183),""interview|journey|talks|wisdom""),""Expert Interview / Trading Insights"",
REGEXMATCH(LOWER(A183),""risk|loss|drawdown|psychology""),""Trading Psychology / Risk Management"",
REGEXMATCH(LOWER(A183),""comm"&amp;"odity|crude|gold|natural gas""),""Commodity Trading Education"",
TRUE,""General Trading Education""
)
"),"Technical Analysis / Chart Patterns")</f>
        <v>Technical Analysis / Chart Patterns</v>
      </c>
    </row>
    <row r="184" ht="15.75" customHeight="1">
      <c r="A184" s="1" t="s">
        <v>924</v>
      </c>
      <c r="B184" s="3" t="s">
        <v>925</v>
      </c>
      <c r="C184" s="1" t="s">
        <v>926</v>
      </c>
      <c r="D184" s="1" t="s">
        <v>927</v>
      </c>
      <c r="E184" s="4">
        <v>45384.0</v>
      </c>
      <c r="F184" s="5">
        <v>0.4361111111111111</v>
      </c>
      <c r="G184" s="1">
        <v>6661.0</v>
      </c>
      <c r="H184" s="1">
        <v>419.0</v>
      </c>
      <c r="I184" s="1">
        <v>24.0</v>
      </c>
      <c r="J184" s="3" t="s">
        <v>928</v>
      </c>
      <c r="K184" s="6">
        <f t="shared" si="1"/>
        <v>6.650653055</v>
      </c>
      <c r="L184" s="7">
        <f t="shared" si="2"/>
        <v>628</v>
      </c>
      <c r="M184" s="8">
        <f t="shared" si="3"/>
        <v>45383</v>
      </c>
      <c r="N184" s="9" t="str">
        <f>IFERROR(__xludf.DUMMYFUNCTION("IFS(
REGEXMATCH(LOWER(A184),""option|options""),""Options Strategy Education"",
REGEXMATCH(LOWER(A184),""bank nifty|nifty|index""),""Index Options"",
REGEXMATCH(LOWER(A184),""algo|api|systematic""),""Algo Trading / API Tutorial"",
REGEXMATCH(LOWER(A184),"&amp;"""groww|mtf|margin|pledge""),""Platform / Groww Feature Tutorial"",
REGEXMATCH(LOWER(A184),""candlestick|chart|price action|trendline|rsi|indicator""),""Technical Analysis / Chart Patterns"",
REGEXMATCH(LOWER(A184),""beginner|guide|start trading""),""Begi"&amp;"nner Trading Education"",
REGEXMATCH(LOWER(A184),""interview|journey|talks|wisdom""),""Expert Interview / Trading Insights"",
REGEXMATCH(LOWER(A184),""risk|loss|drawdown|psychology""),""Trading Psychology / Risk Management"",
REGEXMATCH(LOWER(A184),""comm"&amp;"odity|crude|gold|natural gas""),""Commodity Trading Education"",
TRUE,""General Trading Education""
)
"),"General Trading Education")</f>
        <v>General Trading Education</v>
      </c>
    </row>
    <row r="185" ht="15.75" customHeight="1">
      <c r="A185" s="1" t="s">
        <v>929</v>
      </c>
      <c r="B185" s="3" t="s">
        <v>930</v>
      </c>
      <c r="C185" s="1" t="s">
        <v>931</v>
      </c>
      <c r="D185" s="1" t="s">
        <v>932</v>
      </c>
      <c r="E185" s="4">
        <v>45381.0</v>
      </c>
      <c r="F185" s="10">
        <v>1.1881944444444446</v>
      </c>
      <c r="G185" s="1">
        <v>35211.0</v>
      </c>
      <c r="H185" s="1">
        <v>1191.0</v>
      </c>
      <c r="I185" s="1">
        <v>40.0</v>
      </c>
      <c r="J185" s="3" t="s">
        <v>933</v>
      </c>
      <c r="K185" s="6">
        <f t="shared" si="1"/>
        <v>3.49606657</v>
      </c>
      <c r="L185" s="7">
        <f t="shared" si="2"/>
        <v>1711</v>
      </c>
      <c r="M185" s="8">
        <f t="shared" si="3"/>
        <v>45376</v>
      </c>
      <c r="N185" s="9" t="str">
        <f>IFERROR(__xludf.DUMMYFUNCTION("IFS(
REGEXMATCH(LOWER(A185),""option|options""),""Options Strategy Education"",
REGEXMATCH(LOWER(A185),""bank nifty|nifty|index""),""Index Options"",
REGEXMATCH(LOWER(A185),""algo|api|systematic""),""Algo Trading / API Tutorial"",
REGEXMATCH(LOWER(A185),"&amp;"""groww|mtf|margin|pledge""),""Platform / Groww Feature Tutorial"",
REGEXMATCH(LOWER(A185),""candlestick|chart|price action|trendline|rsi|indicator""),""Technical Analysis / Chart Patterns"",
REGEXMATCH(LOWER(A185),""beginner|guide|start trading""),""Begi"&amp;"nner Trading Education"",
REGEXMATCH(LOWER(A185),""interview|journey|talks|wisdom""),""Expert Interview / Trading Insights"",
REGEXMATCH(LOWER(A185),""risk|loss|drawdown|psychology""),""Trading Psychology / Risk Management"",
REGEXMATCH(LOWER(A185),""comm"&amp;"odity|crude|gold|natural gas""),""Commodity Trading Education"",
TRUE,""General Trading Education""
)
"),"Options Strategy Education")</f>
        <v>Options Strategy Education</v>
      </c>
    </row>
    <row r="186" ht="15.75" customHeight="1">
      <c r="A186" s="1" t="s">
        <v>934</v>
      </c>
      <c r="B186" s="3" t="s">
        <v>935</v>
      </c>
      <c r="C186" s="1" t="s">
        <v>936</v>
      </c>
      <c r="D186" s="1" t="s">
        <v>937</v>
      </c>
      <c r="E186" s="4">
        <v>45379.0</v>
      </c>
      <c r="F186" s="5">
        <v>0.5458333333333333</v>
      </c>
      <c r="G186" s="1">
        <v>3950.0</v>
      </c>
      <c r="H186" s="1">
        <v>170.0</v>
      </c>
      <c r="I186" s="1">
        <v>10.0</v>
      </c>
      <c r="J186" s="3" t="s">
        <v>938</v>
      </c>
      <c r="K186" s="6">
        <f t="shared" si="1"/>
        <v>4.556962025</v>
      </c>
      <c r="L186" s="7">
        <f t="shared" si="2"/>
        <v>786</v>
      </c>
      <c r="M186" s="8">
        <f t="shared" si="3"/>
        <v>45376</v>
      </c>
      <c r="N186" s="9" t="str">
        <f>IFERROR(__xludf.DUMMYFUNCTION("IFS(
REGEXMATCH(LOWER(A186),""option|options""),""Options Strategy Education"",
REGEXMATCH(LOWER(A186),""bank nifty|nifty|index""),""Index Options"",
REGEXMATCH(LOWER(A186),""algo|api|systematic""),""Algo Trading / API Tutorial"",
REGEXMATCH(LOWER(A186),"&amp;"""groww|mtf|margin|pledge""),""Platform / Groww Feature Tutorial"",
REGEXMATCH(LOWER(A186),""candlestick|chart|price action|trendline|rsi|indicator""),""Technical Analysis / Chart Patterns"",
REGEXMATCH(LOWER(A186),""beginner|guide|start trading""),""Begi"&amp;"nner Trading Education"",
REGEXMATCH(LOWER(A186),""interview|journey|talks|wisdom""),""Expert Interview / Trading Insights"",
REGEXMATCH(LOWER(A186),""risk|loss|drawdown|psychology""),""Trading Psychology / Risk Management"",
REGEXMATCH(LOWER(A186),""comm"&amp;"odity|crude|gold|natural gas""),""Commodity Trading Education"",
TRUE,""General Trading Education""
)
"),"Trading Psychology / Risk Management")</f>
        <v>Trading Psychology / Risk Management</v>
      </c>
    </row>
    <row r="187" ht="15.75" customHeight="1">
      <c r="A187" s="1" t="s">
        <v>939</v>
      </c>
      <c r="B187" s="3" t="s">
        <v>940</v>
      </c>
      <c r="C187" s="1" t="s">
        <v>941</v>
      </c>
      <c r="D187" s="1" t="s">
        <v>942</v>
      </c>
      <c r="E187" s="4">
        <v>45377.0</v>
      </c>
      <c r="F187" s="5">
        <v>0.7986111111111112</v>
      </c>
      <c r="G187" s="1">
        <v>9415.0</v>
      </c>
      <c r="H187" s="1">
        <v>437.0</v>
      </c>
      <c r="I187" s="1">
        <v>16.0</v>
      </c>
      <c r="J187" s="3" t="s">
        <v>943</v>
      </c>
      <c r="K187" s="6">
        <f t="shared" si="1"/>
        <v>4.811471057</v>
      </c>
      <c r="L187" s="7">
        <f t="shared" si="2"/>
        <v>1150</v>
      </c>
      <c r="M187" s="8">
        <f t="shared" si="3"/>
        <v>45376</v>
      </c>
      <c r="N187" s="9" t="str">
        <f>IFERROR(__xludf.DUMMYFUNCTION("IFS(
REGEXMATCH(LOWER(A187),""option|options""),""Options Strategy Education"",
REGEXMATCH(LOWER(A187),""bank nifty|nifty|index""),""Index Options"",
REGEXMATCH(LOWER(A187),""algo|api|systematic""),""Algo Trading / API Tutorial"",
REGEXMATCH(LOWER(A187),"&amp;"""groww|mtf|margin|pledge""),""Platform / Groww Feature Tutorial"",
REGEXMATCH(LOWER(A187),""candlestick|chart|price action|trendline|rsi|indicator""),""Technical Analysis / Chart Patterns"",
REGEXMATCH(LOWER(A187),""beginner|guide|start trading""),""Begi"&amp;"nner Trading Education"",
REGEXMATCH(LOWER(A187),""interview|journey|talks|wisdom""),""Expert Interview / Trading Insights"",
REGEXMATCH(LOWER(A187),""risk|loss|drawdown|psychology""),""Trading Psychology / Risk Management"",
REGEXMATCH(LOWER(A187),""comm"&amp;"odity|crude|gold|natural gas""),""Commodity Trading Education"",
TRUE,""General Trading Education""
)
"),"Options Strategy Education")</f>
        <v>Options Strategy Education</v>
      </c>
    </row>
    <row r="188" ht="15.75" customHeight="1">
      <c r="A188" s="1" t="s">
        <v>944</v>
      </c>
      <c r="B188" s="3" t="s">
        <v>945</v>
      </c>
      <c r="C188" s="1" t="s">
        <v>946</v>
      </c>
      <c r="D188" s="1" t="s">
        <v>947</v>
      </c>
      <c r="E188" s="4">
        <v>45374.0</v>
      </c>
      <c r="F188" s="10">
        <v>1.367361111111111</v>
      </c>
      <c r="G188" s="1">
        <v>61861.0</v>
      </c>
      <c r="H188" s="1">
        <v>1877.0</v>
      </c>
      <c r="I188" s="1">
        <v>59.0</v>
      </c>
      <c r="J188" s="3" t="s">
        <v>948</v>
      </c>
      <c r="K188" s="6">
        <f t="shared" si="1"/>
        <v>3.129597</v>
      </c>
      <c r="L188" s="7">
        <f t="shared" si="2"/>
        <v>1969</v>
      </c>
      <c r="M188" s="8">
        <f t="shared" si="3"/>
        <v>45369</v>
      </c>
      <c r="N188" s="9" t="str">
        <f>IFERROR(__xludf.DUMMYFUNCTION("IFS(
REGEXMATCH(LOWER(A188),""option|options""),""Options Strategy Education"",
REGEXMATCH(LOWER(A188),""bank nifty|nifty|index""),""Index Options"",
REGEXMATCH(LOWER(A188),""algo|api|systematic""),""Algo Trading / API Tutorial"",
REGEXMATCH(LOWER(A188),"&amp;"""groww|mtf|margin|pledge""),""Platform / Groww Feature Tutorial"",
REGEXMATCH(LOWER(A188),""candlestick|chart|price action|trendline|rsi|indicator""),""Technical Analysis / Chart Patterns"",
REGEXMATCH(LOWER(A188),""beginner|guide|start trading""),""Begi"&amp;"nner Trading Education"",
REGEXMATCH(LOWER(A188),""interview|journey|talks|wisdom""),""Expert Interview / Trading Insights"",
REGEXMATCH(LOWER(A188),""risk|loss|drawdown|psychology""),""Trading Psychology / Risk Management"",
REGEXMATCH(LOWER(A188),""comm"&amp;"odity|crude|gold|natural gas""),""Commodity Trading Education"",
TRUE,""General Trading Education""
)
"),"Options Strategy Education")</f>
        <v>Options Strategy Education</v>
      </c>
    </row>
    <row r="189" ht="15.75" customHeight="1">
      <c r="A189" s="1" t="s">
        <v>949</v>
      </c>
      <c r="B189" s="3" t="s">
        <v>950</v>
      </c>
      <c r="C189" s="1" t="s">
        <v>951</v>
      </c>
      <c r="D189" s="1" t="s">
        <v>952</v>
      </c>
      <c r="E189" s="4">
        <v>45372.0</v>
      </c>
      <c r="F189" s="5">
        <v>0.5006944444444444</v>
      </c>
      <c r="G189" s="1">
        <v>3840.0</v>
      </c>
      <c r="H189" s="1">
        <v>126.0</v>
      </c>
      <c r="I189" s="1">
        <v>7.0</v>
      </c>
      <c r="J189" s="3" t="s">
        <v>953</v>
      </c>
      <c r="K189" s="6">
        <f t="shared" si="1"/>
        <v>3.463541667</v>
      </c>
      <c r="L189" s="7">
        <f t="shared" si="2"/>
        <v>721</v>
      </c>
      <c r="M189" s="8">
        <f t="shared" si="3"/>
        <v>45369</v>
      </c>
      <c r="N189" s="9" t="str">
        <f>IFERROR(__xludf.DUMMYFUNCTION("IFS(
REGEXMATCH(LOWER(A189),""option|options""),""Options Strategy Education"",
REGEXMATCH(LOWER(A189),""bank nifty|nifty|index""),""Index Options"",
REGEXMATCH(LOWER(A189),""algo|api|systematic""),""Algo Trading / API Tutorial"",
REGEXMATCH(LOWER(A189),"&amp;"""groww|mtf|margin|pledge""),""Platform / Groww Feature Tutorial"",
REGEXMATCH(LOWER(A189),""candlestick|chart|price action|trendline|rsi|indicator""),""Technical Analysis / Chart Patterns"",
REGEXMATCH(LOWER(A189),""beginner|guide|start trading""),""Begi"&amp;"nner Trading Education"",
REGEXMATCH(LOWER(A189),""interview|journey|talks|wisdom""),""Expert Interview / Trading Insights"",
REGEXMATCH(LOWER(A189),""risk|loss|drawdown|psychology""),""Trading Psychology / Risk Management"",
REGEXMATCH(LOWER(A189),""comm"&amp;"odity|crude|gold|natural gas""),""Commodity Trading Education"",
TRUE,""General Trading Education""
)
"),"General Trading Education")</f>
        <v>General Trading Education</v>
      </c>
    </row>
    <row r="190" ht="15.75" customHeight="1">
      <c r="A190" s="1" t="s">
        <v>954</v>
      </c>
      <c r="B190" s="3" t="s">
        <v>955</v>
      </c>
      <c r="C190" s="1" t="s">
        <v>956</v>
      </c>
      <c r="D190" s="1" t="s">
        <v>957</v>
      </c>
      <c r="E190" s="4">
        <v>45370.0</v>
      </c>
      <c r="F190" s="5">
        <v>0.5423611111111111</v>
      </c>
      <c r="G190" s="1">
        <v>6409.0</v>
      </c>
      <c r="H190" s="1">
        <v>319.0</v>
      </c>
      <c r="I190" s="1">
        <v>27.0</v>
      </c>
      <c r="J190" s="3" t="s">
        <v>958</v>
      </c>
      <c r="K190" s="6">
        <f t="shared" si="1"/>
        <v>5.398658137</v>
      </c>
      <c r="L190" s="7">
        <f t="shared" si="2"/>
        <v>781</v>
      </c>
      <c r="M190" s="8">
        <f t="shared" si="3"/>
        <v>45369</v>
      </c>
      <c r="N190" s="9" t="str">
        <f>IFERROR(__xludf.DUMMYFUNCTION("IFS(
REGEXMATCH(LOWER(A190),""option|options""),""Options Strategy Education"",
REGEXMATCH(LOWER(A190),""bank nifty|nifty|index""),""Index Options"",
REGEXMATCH(LOWER(A190),""algo|api|systematic""),""Algo Trading / API Tutorial"",
REGEXMATCH(LOWER(A190),"&amp;"""groww|mtf|margin|pledge""),""Platform / Groww Feature Tutorial"",
REGEXMATCH(LOWER(A190),""candlestick|chart|price action|trendline|rsi|indicator""),""Technical Analysis / Chart Patterns"",
REGEXMATCH(LOWER(A190),""beginner|guide|start trading""),""Begi"&amp;"nner Trading Education"",
REGEXMATCH(LOWER(A190),""interview|journey|talks|wisdom""),""Expert Interview / Trading Insights"",
REGEXMATCH(LOWER(A190),""risk|loss|drawdown|psychology""),""Trading Psychology / Risk Management"",
REGEXMATCH(LOWER(A190),""comm"&amp;"odity|crude|gold|natural gas""),""Commodity Trading Education"",
TRUE,""General Trading Education""
)
"),"Technical Analysis / Chart Patterns")</f>
        <v>Technical Analysis / Chart Patterns</v>
      </c>
    </row>
    <row r="191" ht="15.75" customHeight="1">
      <c r="A191" s="1" t="s">
        <v>959</v>
      </c>
      <c r="B191" s="3" t="s">
        <v>960</v>
      </c>
      <c r="C191" s="1" t="s">
        <v>961</v>
      </c>
      <c r="D191" s="1" t="s">
        <v>962</v>
      </c>
      <c r="E191" s="4">
        <v>45367.0</v>
      </c>
      <c r="F191" s="10">
        <v>1.4395833333333334</v>
      </c>
      <c r="G191" s="1">
        <v>125075.0</v>
      </c>
      <c r="H191" s="1">
        <v>3895.0</v>
      </c>
      <c r="I191" s="1">
        <v>88.0</v>
      </c>
      <c r="J191" s="3" t="s">
        <v>963</v>
      </c>
      <c r="K191" s="6">
        <f t="shared" si="1"/>
        <v>3.184489306</v>
      </c>
      <c r="L191" s="7">
        <f t="shared" si="2"/>
        <v>2073</v>
      </c>
      <c r="M191" s="8">
        <f t="shared" si="3"/>
        <v>45362</v>
      </c>
      <c r="N191" s="9" t="str">
        <f>IFERROR(__xludf.DUMMYFUNCTION("IFS(
REGEXMATCH(LOWER(A191),""option|options""),""Options Strategy Education"",
REGEXMATCH(LOWER(A191),""bank nifty|nifty|index""),""Index Options"",
REGEXMATCH(LOWER(A191),""algo|api|systematic""),""Algo Trading / API Tutorial"",
REGEXMATCH(LOWER(A191),"&amp;"""groww|mtf|margin|pledge""),""Platform / Groww Feature Tutorial"",
REGEXMATCH(LOWER(A191),""candlestick|chart|price action|trendline|rsi|indicator""),""Technical Analysis / Chart Patterns"",
REGEXMATCH(LOWER(A191),""beginner|guide|start trading""),""Begi"&amp;"nner Trading Education"",
REGEXMATCH(LOWER(A191),""interview|journey|talks|wisdom""),""Expert Interview / Trading Insights"",
REGEXMATCH(LOWER(A191),""risk|loss|drawdown|psychology""),""Trading Psychology / Risk Management"",
REGEXMATCH(LOWER(A191),""comm"&amp;"odity|crude|gold|natural gas""),""Commodity Trading Education"",
TRUE,""General Trading Education""
)
"),"Options Strategy Education")</f>
        <v>Options Strategy Education</v>
      </c>
    </row>
    <row r="192" ht="15.75" customHeight="1">
      <c r="A192" s="1" t="s">
        <v>964</v>
      </c>
      <c r="B192" s="3" t="s">
        <v>965</v>
      </c>
      <c r="C192" s="1" t="s">
        <v>966</v>
      </c>
      <c r="D192" s="1" t="s">
        <v>967</v>
      </c>
      <c r="E192" s="4">
        <v>45365.0</v>
      </c>
      <c r="F192" s="5">
        <v>0.6402777777777777</v>
      </c>
      <c r="G192" s="1">
        <v>12352.0</v>
      </c>
      <c r="H192" s="1">
        <v>712.0</v>
      </c>
      <c r="I192" s="1">
        <v>10.0</v>
      </c>
      <c r="J192" s="3" t="s">
        <v>968</v>
      </c>
      <c r="K192" s="6">
        <f t="shared" si="1"/>
        <v>5.845207254</v>
      </c>
      <c r="L192" s="7">
        <f t="shared" si="2"/>
        <v>922</v>
      </c>
      <c r="M192" s="8">
        <f t="shared" si="3"/>
        <v>45362</v>
      </c>
      <c r="N192" s="9" t="str">
        <f>IFERROR(__xludf.DUMMYFUNCTION("IFS(
REGEXMATCH(LOWER(A192),""option|options""),""Options Strategy Education"",
REGEXMATCH(LOWER(A192),""bank nifty|nifty|index""),""Index Options"",
REGEXMATCH(LOWER(A192),""algo|api|systematic""),""Algo Trading / API Tutorial"",
REGEXMATCH(LOWER(A192),"&amp;"""groww|mtf|margin|pledge""),""Platform / Groww Feature Tutorial"",
REGEXMATCH(LOWER(A192),""candlestick|chart|price action|trendline|rsi|indicator""),""Technical Analysis / Chart Patterns"",
REGEXMATCH(LOWER(A192),""beginner|guide|start trading""),""Begi"&amp;"nner Trading Education"",
REGEXMATCH(LOWER(A192),""interview|journey|talks|wisdom""),""Expert Interview / Trading Insights"",
REGEXMATCH(LOWER(A192),""risk|loss|drawdown|psychology""),""Trading Psychology / Risk Management"",
REGEXMATCH(LOWER(A192),""comm"&amp;"odity|crude|gold|natural gas""),""Commodity Trading Education"",
TRUE,""General Trading Education""
)
"),"Technical Analysis / Chart Patterns")</f>
        <v>Technical Analysis / Chart Patterns</v>
      </c>
    </row>
    <row r="193" ht="15.75" customHeight="1">
      <c r="A193" s="1" t="s">
        <v>969</v>
      </c>
      <c r="B193" s="3" t="s">
        <v>970</v>
      </c>
      <c r="C193" s="1" t="s">
        <v>971</v>
      </c>
      <c r="D193" s="1" t="s">
        <v>972</v>
      </c>
      <c r="E193" s="4">
        <v>45363.0</v>
      </c>
      <c r="F193" s="5">
        <v>0.4479166666666667</v>
      </c>
      <c r="G193" s="1">
        <v>13402.0</v>
      </c>
      <c r="H193" s="1">
        <v>481.0</v>
      </c>
      <c r="I193" s="1">
        <v>12.0</v>
      </c>
      <c r="J193" s="3" t="s">
        <v>973</v>
      </c>
      <c r="K193" s="6">
        <f t="shared" si="1"/>
        <v>3.678555439</v>
      </c>
      <c r="L193" s="7">
        <f t="shared" si="2"/>
        <v>645</v>
      </c>
      <c r="M193" s="8">
        <f t="shared" si="3"/>
        <v>45362</v>
      </c>
      <c r="N193" s="9" t="str">
        <f>IFERROR(__xludf.DUMMYFUNCTION("IFS(
REGEXMATCH(LOWER(A193),""option|options""),""Options Strategy Education"",
REGEXMATCH(LOWER(A193),""bank nifty|nifty|index""),""Index Options"",
REGEXMATCH(LOWER(A193),""algo|api|systematic""),""Algo Trading / API Tutorial"",
REGEXMATCH(LOWER(A193),"&amp;"""groww|mtf|margin|pledge""),""Platform / Groww Feature Tutorial"",
REGEXMATCH(LOWER(A193),""candlestick|chart|price action|trendline|rsi|indicator""),""Technical Analysis / Chart Patterns"",
REGEXMATCH(LOWER(A193),""beginner|guide|start trading""),""Begi"&amp;"nner Trading Education"",
REGEXMATCH(LOWER(A193),""interview|journey|talks|wisdom""),""Expert Interview / Trading Insights"",
REGEXMATCH(LOWER(A193),""risk|loss|drawdown|psychology""),""Trading Psychology / Risk Management"",
REGEXMATCH(LOWER(A193),""comm"&amp;"odity|crude|gold|natural gas""),""Commodity Trading Education"",
TRUE,""General Trading Education""
)
"),"General Trading Education")</f>
        <v>General Trading Education</v>
      </c>
    </row>
    <row r="194" ht="15.75" customHeight="1">
      <c r="A194" s="1" t="s">
        <v>974</v>
      </c>
      <c r="B194" s="3" t="s">
        <v>975</v>
      </c>
      <c r="C194" s="1" t="s">
        <v>976</v>
      </c>
      <c r="D194" s="1" t="s">
        <v>977</v>
      </c>
      <c r="E194" s="4">
        <v>45360.0</v>
      </c>
      <c r="F194" s="5">
        <v>0.7145833333333333</v>
      </c>
      <c r="G194" s="1">
        <v>10808.0</v>
      </c>
      <c r="H194" s="1">
        <v>464.0</v>
      </c>
      <c r="I194" s="1">
        <v>20.0</v>
      </c>
      <c r="J194" s="3" t="s">
        <v>978</v>
      </c>
      <c r="K194" s="6">
        <f t="shared" si="1"/>
        <v>4.478164323</v>
      </c>
      <c r="L194" s="7">
        <f t="shared" si="2"/>
        <v>1029</v>
      </c>
      <c r="M194" s="8">
        <f t="shared" si="3"/>
        <v>45355</v>
      </c>
      <c r="N194" s="9" t="str">
        <f>IFERROR(__xludf.DUMMYFUNCTION("IFS(
REGEXMATCH(LOWER(A194),""option|options""),""Options Strategy Education"",
REGEXMATCH(LOWER(A194),""bank nifty|nifty|index""),""Index Options"",
REGEXMATCH(LOWER(A194),""algo|api|systematic""),""Algo Trading / API Tutorial"",
REGEXMATCH(LOWER(A194),"&amp;"""groww|mtf|margin|pledge""),""Platform / Groww Feature Tutorial"",
REGEXMATCH(LOWER(A194),""candlestick|chart|price action|trendline|rsi|indicator""),""Technical Analysis / Chart Patterns"",
REGEXMATCH(LOWER(A194),""beginner|guide|start trading""),""Begi"&amp;"nner Trading Education"",
REGEXMATCH(LOWER(A194),""interview|journey|talks|wisdom""),""Expert Interview / Trading Insights"",
REGEXMATCH(LOWER(A194),""risk|loss|drawdown|psychology""),""Trading Psychology / Risk Management"",
REGEXMATCH(LOWER(A194),""comm"&amp;"odity|crude|gold|natural gas""),""Commodity Trading Education"",
TRUE,""General Trading Education""
)
"),"General Trading Education")</f>
        <v>General Trading Education</v>
      </c>
    </row>
    <row r="195" ht="15.75" customHeight="1">
      <c r="A195" s="1" t="s">
        <v>979</v>
      </c>
      <c r="B195" s="3" t="s">
        <v>980</v>
      </c>
      <c r="C195" s="1" t="s">
        <v>981</v>
      </c>
      <c r="D195" s="1" t="s">
        <v>982</v>
      </c>
      <c r="E195" s="4">
        <v>45358.0</v>
      </c>
      <c r="F195" s="5">
        <v>0.5895833333333333</v>
      </c>
      <c r="G195" s="1">
        <v>12244.0</v>
      </c>
      <c r="H195" s="1">
        <v>244.0</v>
      </c>
      <c r="I195" s="1">
        <v>10.0</v>
      </c>
      <c r="J195" s="3" t="s">
        <v>983</v>
      </c>
      <c r="K195" s="6">
        <f t="shared" si="1"/>
        <v>2.074485462</v>
      </c>
      <c r="L195" s="7">
        <f t="shared" si="2"/>
        <v>849</v>
      </c>
      <c r="M195" s="8">
        <f t="shared" si="3"/>
        <v>45355</v>
      </c>
      <c r="N195" s="9" t="str">
        <f>IFERROR(__xludf.DUMMYFUNCTION("IFS(
REGEXMATCH(LOWER(A195),""option|options""),""Options Strategy Education"",
REGEXMATCH(LOWER(A195),""bank nifty|nifty|index""),""Index Options"",
REGEXMATCH(LOWER(A195),""algo|api|systematic""),""Algo Trading / API Tutorial"",
REGEXMATCH(LOWER(A195),"&amp;"""groww|mtf|margin|pledge""),""Platform / Groww Feature Tutorial"",
REGEXMATCH(LOWER(A195),""candlestick|chart|price action|trendline|rsi|indicator""),""Technical Analysis / Chart Patterns"",
REGEXMATCH(LOWER(A195),""beginner|guide|start trading""),""Begi"&amp;"nner Trading Education"",
REGEXMATCH(LOWER(A195),""interview|journey|talks|wisdom""),""Expert Interview / Trading Insights"",
REGEXMATCH(LOWER(A195),""risk|loss|drawdown|psychology""),""Trading Psychology / Risk Management"",
REGEXMATCH(LOWER(A195),""comm"&amp;"odity|crude|gold|natural gas""),""Commodity Trading Education"",
TRUE,""General Trading Education""
)
"),"Beginner Trading Education")</f>
        <v>Beginner Trading Education</v>
      </c>
    </row>
    <row r="196" ht="15.75" customHeight="1">
      <c r="A196" s="1" t="s">
        <v>984</v>
      </c>
      <c r="B196" s="3" t="s">
        <v>985</v>
      </c>
      <c r="C196" s="1" t="s">
        <v>986</v>
      </c>
      <c r="D196" s="1" t="s">
        <v>987</v>
      </c>
      <c r="E196" s="4">
        <v>45356.0</v>
      </c>
      <c r="F196" s="5">
        <v>0.8305555555555556</v>
      </c>
      <c r="G196" s="1">
        <v>192565.0</v>
      </c>
      <c r="H196" s="1">
        <v>5444.0</v>
      </c>
      <c r="I196" s="1">
        <v>135.0</v>
      </c>
      <c r="J196" s="3" t="s">
        <v>988</v>
      </c>
      <c r="K196" s="6">
        <f t="shared" si="1"/>
        <v>2.897203542</v>
      </c>
      <c r="L196" s="7">
        <f t="shared" si="2"/>
        <v>1196</v>
      </c>
      <c r="M196" s="8">
        <f t="shared" si="3"/>
        <v>45355</v>
      </c>
      <c r="N196" s="9" t="str">
        <f>IFERROR(__xludf.DUMMYFUNCTION("IFS(
REGEXMATCH(LOWER(A196),""option|options""),""Options Strategy Education"",
REGEXMATCH(LOWER(A196),""bank nifty|nifty|index""),""Index Options"",
REGEXMATCH(LOWER(A196),""algo|api|systematic""),""Algo Trading / API Tutorial"",
REGEXMATCH(LOWER(A196),"&amp;"""groww|mtf|margin|pledge""),""Platform / Groww Feature Tutorial"",
REGEXMATCH(LOWER(A196),""candlestick|chart|price action|trendline|rsi|indicator""),""Technical Analysis / Chart Patterns"",
REGEXMATCH(LOWER(A196),""beginner|guide|start trading""),""Begi"&amp;"nner Trading Education"",
REGEXMATCH(LOWER(A196),""interview|journey|talks|wisdom""),""Expert Interview / Trading Insights"",
REGEXMATCH(LOWER(A196),""risk|loss|drawdown|psychology""),""Trading Psychology / Risk Management"",
REGEXMATCH(LOWER(A196),""comm"&amp;"odity|crude|gold|natural gas""),""Commodity Trading Education"",
TRUE,""General Trading Education""
)
"),"Beginner Trading Education")</f>
        <v>Beginner Trading Education</v>
      </c>
    </row>
    <row r="197" ht="15.75" customHeight="1">
      <c r="A197" s="1" t="s">
        <v>989</v>
      </c>
      <c r="B197" s="3" t="s">
        <v>990</v>
      </c>
      <c r="C197" s="1" t="s">
        <v>991</v>
      </c>
      <c r="D197" s="1" t="s">
        <v>992</v>
      </c>
      <c r="E197" s="4">
        <v>45355.0</v>
      </c>
      <c r="F197" s="5">
        <v>0.04791666666666667</v>
      </c>
      <c r="G197" s="1">
        <v>86295.0</v>
      </c>
      <c r="H197" s="1">
        <v>1758.0</v>
      </c>
      <c r="I197" s="1">
        <v>75.0</v>
      </c>
      <c r="J197" s="3" t="s">
        <v>993</v>
      </c>
      <c r="K197" s="6">
        <f t="shared" si="1"/>
        <v>2.12410916</v>
      </c>
      <c r="L197" s="7">
        <f t="shared" si="2"/>
        <v>69</v>
      </c>
      <c r="M197" s="8">
        <f t="shared" si="3"/>
        <v>45355</v>
      </c>
      <c r="N197" s="9" t="str">
        <f>IFERROR(__xludf.DUMMYFUNCTION("IFS(
REGEXMATCH(LOWER(A197),""option|options""),""Options Strategy Education"",
REGEXMATCH(LOWER(A197),""bank nifty|nifty|index""),""Index Options"",
REGEXMATCH(LOWER(A197),""algo|api|systematic""),""Algo Trading / API Tutorial"",
REGEXMATCH(LOWER(A197),"&amp;"""groww|mtf|margin|pledge""),""Platform / Groww Feature Tutorial"",
REGEXMATCH(LOWER(A197),""candlestick|chart|price action|trendline|rsi|indicator""),""Technical Analysis / Chart Patterns"",
REGEXMATCH(LOWER(A197),""beginner|guide|start trading""),""Begi"&amp;"nner Trading Education"",
REGEXMATCH(LOWER(A197),""interview|journey|talks|wisdom""),""Expert Interview / Trading Insights"",
REGEXMATCH(LOWER(A197),""risk|loss|drawdown|psychology""),""Trading Psychology / Risk Management"",
REGEXMATCH(LOWER(A197),""comm"&amp;"odity|crude|gold|natural gas""),""Commodity Trading Education"",
TRUE,""General Trading Education""
)
"),"Platform / Groww Feature Tutorial")</f>
        <v>Platform / Groww Feature Tutorial</v>
      </c>
    </row>
    <row r="198" ht="15.75" customHeight="1">
      <c r="A198" s="1" t="s">
        <v>994</v>
      </c>
      <c r="B198" s="3" t="s">
        <v>995</v>
      </c>
      <c r="C198" s="1" t="s">
        <v>996</v>
      </c>
      <c r="D198" s="1" t="s">
        <v>997</v>
      </c>
      <c r="E198" s="4">
        <v>45353.0</v>
      </c>
      <c r="F198" s="5">
        <v>0.34791666666666665</v>
      </c>
      <c r="G198" s="1">
        <v>7783.0</v>
      </c>
      <c r="H198" s="1">
        <v>311.0</v>
      </c>
      <c r="I198" s="1">
        <v>32.0</v>
      </c>
      <c r="J198" s="3" t="s">
        <v>998</v>
      </c>
      <c r="K198" s="6">
        <f t="shared" si="1"/>
        <v>4.407040987</v>
      </c>
      <c r="L198" s="7">
        <f t="shared" si="2"/>
        <v>501</v>
      </c>
      <c r="M198" s="8">
        <f t="shared" si="3"/>
        <v>45348</v>
      </c>
      <c r="N198" s="9" t="str">
        <f>IFERROR(__xludf.DUMMYFUNCTION("IFS(
REGEXMATCH(LOWER(A198),""option|options""),""Options Strategy Education"",
REGEXMATCH(LOWER(A198),""bank nifty|nifty|index""),""Index Options"",
REGEXMATCH(LOWER(A198),""algo|api|systematic""),""Algo Trading / API Tutorial"",
REGEXMATCH(LOWER(A198),"&amp;"""groww|mtf|margin|pledge""),""Platform / Groww Feature Tutorial"",
REGEXMATCH(LOWER(A198),""candlestick|chart|price action|trendline|rsi|indicator""),""Technical Analysis / Chart Patterns"",
REGEXMATCH(LOWER(A198),""beginner|guide|start trading""),""Begi"&amp;"nner Trading Education"",
REGEXMATCH(LOWER(A198),""interview|journey|talks|wisdom""),""Expert Interview / Trading Insights"",
REGEXMATCH(LOWER(A198),""risk|loss|drawdown|psychology""),""Trading Psychology / Risk Management"",
REGEXMATCH(LOWER(A198),""comm"&amp;"odity|crude|gold|natural gas""),""Commodity Trading Education"",
TRUE,""General Trading Education""
)
"),"General Trading Education")</f>
        <v>General Trading Education</v>
      </c>
    </row>
    <row r="199" ht="15.75" customHeight="1">
      <c r="A199" s="1" t="s">
        <v>999</v>
      </c>
      <c r="B199" s="3" t="s">
        <v>1000</v>
      </c>
      <c r="C199" s="1" t="s">
        <v>1001</v>
      </c>
      <c r="D199" s="1" t="s">
        <v>1002</v>
      </c>
      <c r="E199" s="4">
        <v>45351.0</v>
      </c>
      <c r="F199" s="5">
        <v>0.4236111111111111</v>
      </c>
      <c r="G199" s="1">
        <v>5300.0</v>
      </c>
      <c r="H199" s="1">
        <v>174.0</v>
      </c>
      <c r="I199" s="1">
        <v>8.0</v>
      </c>
      <c r="J199" s="3" t="s">
        <v>1003</v>
      </c>
      <c r="K199" s="6">
        <f t="shared" si="1"/>
        <v>3.433962264</v>
      </c>
      <c r="L199" s="7">
        <f t="shared" si="2"/>
        <v>610</v>
      </c>
      <c r="M199" s="8">
        <f t="shared" si="3"/>
        <v>45348</v>
      </c>
      <c r="N199" s="9" t="str">
        <f>IFERROR(__xludf.DUMMYFUNCTION("IFS(
REGEXMATCH(LOWER(A199),""option|options""),""Options Strategy Education"",
REGEXMATCH(LOWER(A199),""bank nifty|nifty|index""),""Index Options"",
REGEXMATCH(LOWER(A199),""algo|api|systematic""),""Algo Trading / API Tutorial"",
REGEXMATCH(LOWER(A199),"&amp;"""groww|mtf|margin|pledge""),""Platform / Groww Feature Tutorial"",
REGEXMATCH(LOWER(A199),""candlestick|chart|price action|trendline|rsi|indicator""),""Technical Analysis / Chart Patterns"",
REGEXMATCH(LOWER(A199),""beginner|guide|start trading""),""Begi"&amp;"nner Trading Education"",
REGEXMATCH(LOWER(A199),""interview|journey|talks|wisdom""),""Expert Interview / Trading Insights"",
REGEXMATCH(LOWER(A199),""risk|loss|drawdown|psychology""),""Trading Psychology / Risk Management"",
REGEXMATCH(LOWER(A199),""comm"&amp;"odity|crude|gold|natural gas""),""Commodity Trading Education"",
TRUE,""General Trading Education""
)
"),"Technical Analysis / Chart Patterns")</f>
        <v>Technical Analysis / Chart Patterns</v>
      </c>
    </row>
    <row r="200" ht="15.75" customHeight="1">
      <c r="A200" s="1" t="s">
        <v>1004</v>
      </c>
      <c r="B200" s="3" t="s">
        <v>1005</v>
      </c>
      <c r="C200" s="1" t="s">
        <v>1006</v>
      </c>
      <c r="D200" s="1" t="s">
        <v>1007</v>
      </c>
      <c r="E200" s="4">
        <v>45349.0</v>
      </c>
      <c r="F200" s="5">
        <v>0.6736111111111112</v>
      </c>
      <c r="G200" s="1">
        <v>19481.0</v>
      </c>
      <c r="H200" s="1">
        <v>862.0</v>
      </c>
      <c r="I200" s="1">
        <v>14.0</v>
      </c>
      <c r="J200" s="3" t="s">
        <v>1008</v>
      </c>
      <c r="K200" s="6">
        <f t="shared" si="1"/>
        <v>4.496689082</v>
      </c>
      <c r="L200" s="7">
        <f t="shared" si="2"/>
        <v>970</v>
      </c>
      <c r="M200" s="8">
        <f t="shared" si="3"/>
        <v>45348</v>
      </c>
      <c r="N200" s="9" t="str">
        <f>IFERROR(__xludf.DUMMYFUNCTION("IFS(
REGEXMATCH(LOWER(A200),""option|options""),""Options Strategy Education"",
REGEXMATCH(LOWER(A200),""bank nifty|nifty|index""),""Index Options"",
REGEXMATCH(LOWER(A200),""algo|api|systematic""),""Algo Trading / API Tutorial"",
REGEXMATCH(LOWER(A200),"&amp;"""groww|mtf|margin|pledge""),""Platform / Groww Feature Tutorial"",
REGEXMATCH(LOWER(A200),""candlestick|chart|price action|trendline|rsi|indicator""),""Technical Analysis / Chart Patterns"",
REGEXMATCH(LOWER(A200),""beginner|guide|start trading""),""Begi"&amp;"nner Trading Education"",
REGEXMATCH(LOWER(A200),""interview|journey|talks|wisdom""),""Expert Interview / Trading Insights"",
REGEXMATCH(LOWER(A200),""risk|loss|drawdown|psychology""),""Trading Psychology / Risk Management"",
REGEXMATCH(LOWER(A200),""comm"&amp;"odity|crude|gold|natural gas""),""Commodity Trading Education"",
TRUE,""General Trading Education""
)
"),"General Trading Education")</f>
        <v>General Trading Education</v>
      </c>
    </row>
    <row r="201" ht="15.75" customHeight="1">
      <c r="A201" s="1" t="s">
        <v>1009</v>
      </c>
      <c r="B201" s="3" t="s">
        <v>1010</v>
      </c>
      <c r="C201" s="1" t="s">
        <v>1011</v>
      </c>
      <c r="D201" s="1" t="s">
        <v>1012</v>
      </c>
      <c r="E201" s="4">
        <v>45346.0</v>
      </c>
      <c r="F201" s="5">
        <v>0.4486111111111111</v>
      </c>
      <c r="G201" s="1">
        <v>10779.0</v>
      </c>
      <c r="H201" s="1">
        <v>514.0</v>
      </c>
      <c r="I201" s="1">
        <v>39.0</v>
      </c>
      <c r="J201" s="3" t="s">
        <v>1013</v>
      </c>
      <c r="K201" s="6">
        <f t="shared" si="1"/>
        <v>5.130346043</v>
      </c>
      <c r="L201" s="7">
        <f t="shared" si="2"/>
        <v>646</v>
      </c>
      <c r="M201" s="8">
        <f t="shared" si="3"/>
        <v>45341</v>
      </c>
      <c r="N201" s="9" t="str">
        <f>IFERROR(__xludf.DUMMYFUNCTION("IFS(
REGEXMATCH(LOWER(A201),""option|options""),""Options Strategy Education"",
REGEXMATCH(LOWER(A201),""bank nifty|nifty|index""),""Index Options"",
REGEXMATCH(LOWER(A201),""algo|api|systematic""),""Algo Trading / API Tutorial"",
REGEXMATCH(LOWER(A201),"&amp;"""groww|mtf|margin|pledge""),""Platform / Groww Feature Tutorial"",
REGEXMATCH(LOWER(A201),""candlestick|chart|price action|trendline|rsi|indicator""),""Technical Analysis / Chart Patterns"",
REGEXMATCH(LOWER(A201),""beginner|guide|start trading""),""Begi"&amp;"nner Trading Education"",
REGEXMATCH(LOWER(A201),""interview|journey|talks|wisdom""),""Expert Interview / Trading Insights"",
REGEXMATCH(LOWER(A201),""risk|loss|drawdown|psychology""),""Trading Psychology / Risk Management"",
REGEXMATCH(LOWER(A201),""comm"&amp;"odity|crude|gold|natural gas""),""Commodity Trading Education"",
TRUE,""General Trading Education""
)
"),"Technical Analysis / Chart Patterns")</f>
        <v>Technical Analysis / Chart Patterns</v>
      </c>
    </row>
    <row r="202" ht="15.75" customHeight="1">
      <c r="A202" s="1" t="s">
        <v>1014</v>
      </c>
      <c r="B202" s="3" t="s">
        <v>1015</v>
      </c>
      <c r="C202" s="1" t="s">
        <v>1016</v>
      </c>
      <c r="D202" s="1" t="s">
        <v>1017</v>
      </c>
      <c r="E202" s="4">
        <v>45344.0</v>
      </c>
      <c r="F202" s="5">
        <v>0.4625</v>
      </c>
      <c r="G202" s="1">
        <v>21393.0</v>
      </c>
      <c r="H202" s="1">
        <v>817.0</v>
      </c>
      <c r="I202" s="1">
        <v>43.0</v>
      </c>
      <c r="J202" s="3" t="s">
        <v>1018</v>
      </c>
      <c r="K202" s="6">
        <f t="shared" si="1"/>
        <v>4.020006544</v>
      </c>
      <c r="L202" s="7">
        <f t="shared" si="2"/>
        <v>666</v>
      </c>
      <c r="M202" s="8">
        <f t="shared" si="3"/>
        <v>45341</v>
      </c>
      <c r="N202" s="9" t="str">
        <f>IFERROR(__xludf.DUMMYFUNCTION("IFS(
REGEXMATCH(LOWER(A202),""option|options""),""Options Strategy Education"",
REGEXMATCH(LOWER(A202),""bank nifty|nifty|index""),""Index Options"",
REGEXMATCH(LOWER(A202),""algo|api|systematic""),""Algo Trading / API Tutorial"",
REGEXMATCH(LOWER(A202),"&amp;"""groww|mtf|margin|pledge""),""Platform / Groww Feature Tutorial"",
REGEXMATCH(LOWER(A202),""candlestick|chart|price action|trendline|rsi|indicator""),""Technical Analysis / Chart Patterns"",
REGEXMATCH(LOWER(A202),""beginner|guide|start trading""),""Begi"&amp;"nner Trading Education"",
REGEXMATCH(LOWER(A202),""interview|journey|talks|wisdom""),""Expert Interview / Trading Insights"",
REGEXMATCH(LOWER(A202),""risk|loss|drawdown|psychology""),""Trading Psychology / Risk Management"",
REGEXMATCH(LOWER(A202),""comm"&amp;"odity|crude|gold|natural gas""),""Commodity Trading Education"",
TRUE,""General Trading Education""
)
"),"General Trading Education")</f>
        <v>General Trading Education</v>
      </c>
    </row>
    <row r="203" ht="15.75" customHeight="1">
      <c r="A203" s="1" t="s">
        <v>1019</v>
      </c>
      <c r="B203" s="3" t="s">
        <v>1020</v>
      </c>
      <c r="C203" s="1" t="s">
        <v>1021</v>
      </c>
      <c r="D203" s="1" t="s">
        <v>1022</v>
      </c>
      <c r="E203" s="4">
        <v>45342.0</v>
      </c>
      <c r="F203" s="5">
        <v>0.37569444444444444</v>
      </c>
      <c r="G203" s="1">
        <v>12681.0</v>
      </c>
      <c r="H203" s="1">
        <v>818.0</v>
      </c>
      <c r="I203" s="1">
        <v>32.0</v>
      </c>
      <c r="J203" s="3" t="s">
        <v>1023</v>
      </c>
      <c r="K203" s="6">
        <f t="shared" si="1"/>
        <v>6.702941408</v>
      </c>
      <c r="L203" s="7">
        <f t="shared" si="2"/>
        <v>541</v>
      </c>
      <c r="M203" s="8">
        <f t="shared" si="3"/>
        <v>45341</v>
      </c>
      <c r="N203" s="9" t="str">
        <f>IFERROR(__xludf.DUMMYFUNCTION("IFS(
REGEXMATCH(LOWER(A203),""option|options""),""Options Strategy Education"",
REGEXMATCH(LOWER(A203),""bank nifty|nifty|index""),""Index Options"",
REGEXMATCH(LOWER(A203),""algo|api|systematic""),""Algo Trading / API Tutorial"",
REGEXMATCH(LOWER(A203),"&amp;"""groww|mtf|margin|pledge""),""Platform / Groww Feature Tutorial"",
REGEXMATCH(LOWER(A203),""candlestick|chart|price action|trendline|rsi|indicator""),""Technical Analysis / Chart Patterns"",
REGEXMATCH(LOWER(A203),""beginner|guide|start trading""),""Begi"&amp;"nner Trading Education"",
REGEXMATCH(LOWER(A203),""interview|journey|talks|wisdom""),""Expert Interview / Trading Insights"",
REGEXMATCH(LOWER(A203),""risk|loss|drawdown|psychology""),""Trading Psychology / Risk Management"",
REGEXMATCH(LOWER(A203),""comm"&amp;"odity|crude|gold|natural gas""),""Commodity Trading Education"",
TRUE,""General Trading Education""
)
"),"General Trading Education")</f>
        <v>General Trading Education</v>
      </c>
    </row>
    <row r="204" ht="15.75" customHeight="1">
      <c r="A204" s="1" t="s">
        <v>1024</v>
      </c>
      <c r="B204" s="3" t="s">
        <v>1025</v>
      </c>
      <c r="C204" s="1" t="s">
        <v>1026</v>
      </c>
      <c r="D204" s="1" t="s">
        <v>1027</v>
      </c>
      <c r="E204" s="4">
        <v>45322.0</v>
      </c>
      <c r="F204" s="5">
        <v>0.5243055555555556</v>
      </c>
      <c r="G204" s="1">
        <v>21481.0</v>
      </c>
      <c r="H204" s="1">
        <v>1089.0</v>
      </c>
      <c r="I204" s="1">
        <v>48.0</v>
      </c>
      <c r="J204" s="3" t="s">
        <v>1028</v>
      </c>
      <c r="K204" s="6">
        <f t="shared" si="1"/>
        <v>5.293049672</v>
      </c>
      <c r="L204" s="7">
        <f t="shared" si="2"/>
        <v>755</v>
      </c>
      <c r="M204" s="8">
        <f t="shared" si="3"/>
        <v>45320</v>
      </c>
      <c r="N204" s="9" t="str">
        <f>IFERROR(__xludf.DUMMYFUNCTION("IFS(
REGEXMATCH(LOWER(A204),""option|options""),""Options Strategy Education"",
REGEXMATCH(LOWER(A204),""bank nifty|nifty|index""),""Index Options"",
REGEXMATCH(LOWER(A204),""algo|api|systematic""),""Algo Trading / API Tutorial"",
REGEXMATCH(LOWER(A204),"&amp;"""groww|mtf|margin|pledge""),""Platform / Groww Feature Tutorial"",
REGEXMATCH(LOWER(A204),""candlestick|chart|price action|trendline|rsi|indicator""),""Technical Analysis / Chart Patterns"",
REGEXMATCH(LOWER(A204),""beginner|guide|start trading""),""Begi"&amp;"nner Trading Education"",
REGEXMATCH(LOWER(A204),""interview|journey|talks|wisdom""),""Expert Interview / Trading Insights"",
REGEXMATCH(LOWER(A204),""risk|loss|drawdown|psychology""),""Trading Psychology / Risk Management"",
REGEXMATCH(LOWER(A204),""comm"&amp;"odity|crude|gold|natural gas""),""Commodity Trading Education"",
TRUE,""General Trading Education""
)
"),"General Trading Education")</f>
        <v>General Trading Education</v>
      </c>
    </row>
    <row r="205" ht="15.75" customHeight="1">
      <c r="A205" s="1" t="s">
        <v>1029</v>
      </c>
      <c r="B205" s="3" t="s">
        <v>1030</v>
      </c>
      <c r="C205" s="1" t="s">
        <v>1031</v>
      </c>
      <c r="D205" s="1" t="s">
        <v>1032</v>
      </c>
      <c r="E205" s="4">
        <v>45309.0</v>
      </c>
      <c r="F205" s="5">
        <v>0.5180555555555556</v>
      </c>
      <c r="G205" s="1">
        <v>10259.0</v>
      </c>
      <c r="H205" s="1">
        <v>365.0</v>
      </c>
      <c r="I205" s="1">
        <v>16.0</v>
      </c>
      <c r="J205" s="3" t="s">
        <v>1033</v>
      </c>
      <c r="K205" s="6">
        <f t="shared" si="1"/>
        <v>3.713812262</v>
      </c>
      <c r="L205" s="7">
        <f t="shared" si="2"/>
        <v>746</v>
      </c>
      <c r="M205" s="8">
        <f t="shared" si="3"/>
        <v>45306</v>
      </c>
      <c r="N205" s="9" t="str">
        <f>IFERROR(__xludf.DUMMYFUNCTION("IFS(
REGEXMATCH(LOWER(A205),""option|options""),""Options Strategy Education"",
REGEXMATCH(LOWER(A205),""bank nifty|nifty|index""),""Index Options"",
REGEXMATCH(LOWER(A205),""algo|api|systematic""),""Algo Trading / API Tutorial"",
REGEXMATCH(LOWER(A205),"&amp;"""groww|mtf|margin|pledge""),""Platform / Groww Feature Tutorial"",
REGEXMATCH(LOWER(A205),""candlestick|chart|price action|trendline|rsi|indicator""),""Technical Analysis / Chart Patterns"",
REGEXMATCH(LOWER(A205),""beginner|guide|start trading""),""Begi"&amp;"nner Trading Education"",
REGEXMATCH(LOWER(A205),""interview|journey|talks|wisdom""),""Expert Interview / Trading Insights"",
REGEXMATCH(LOWER(A205),""risk|loss|drawdown|psychology""),""Trading Psychology / Risk Management"",
REGEXMATCH(LOWER(A205),""comm"&amp;"odity|crude|gold|natural gas""),""Commodity Trading Education"",
TRUE,""General Trading Education""
)
"),"Technical Analysis / Chart Patterns")</f>
        <v>Technical Analysis / Chart Patterns</v>
      </c>
    </row>
    <row r="206" ht="15.75" customHeight="1">
      <c r="A206" s="1" t="s">
        <v>1034</v>
      </c>
      <c r="B206" s="3" t="s">
        <v>1035</v>
      </c>
      <c r="C206" s="1" t="s">
        <v>1036</v>
      </c>
      <c r="D206" s="1" t="s">
        <v>1037</v>
      </c>
      <c r="E206" s="4">
        <v>45307.0</v>
      </c>
      <c r="F206" s="5">
        <v>0.48125</v>
      </c>
      <c r="G206" s="1">
        <v>31416.0</v>
      </c>
      <c r="H206" s="1">
        <v>1103.0</v>
      </c>
      <c r="I206" s="1">
        <v>16.0</v>
      </c>
      <c r="J206" s="3" t="s">
        <v>1038</v>
      </c>
      <c r="K206" s="6">
        <f t="shared" si="1"/>
        <v>3.561879297</v>
      </c>
      <c r="L206" s="7">
        <f t="shared" si="2"/>
        <v>693</v>
      </c>
      <c r="M206" s="8">
        <f t="shared" si="3"/>
        <v>45306</v>
      </c>
      <c r="N206" s="9" t="str">
        <f>IFERROR(__xludf.DUMMYFUNCTION("IFS(
REGEXMATCH(LOWER(A206),""option|options""),""Options Strategy Education"",
REGEXMATCH(LOWER(A206),""bank nifty|nifty|index""),""Index Options"",
REGEXMATCH(LOWER(A206),""algo|api|systematic""),""Algo Trading / API Tutorial"",
REGEXMATCH(LOWER(A206),"&amp;"""groww|mtf|margin|pledge""),""Platform / Groww Feature Tutorial"",
REGEXMATCH(LOWER(A206),""candlestick|chart|price action|trendline|rsi|indicator""),""Technical Analysis / Chart Patterns"",
REGEXMATCH(LOWER(A206),""beginner|guide|start trading""),""Begi"&amp;"nner Trading Education"",
REGEXMATCH(LOWER(A206),""interview|journey|talks|wisdom""),""Expert Interview / Trading Insights"",
REGEXMATCH(LOWER(A206),""risk|loss|drawdown|psychology""),""Trading Psychology / Risk Management"",
REGEXMATCH(LOWER(A206),""comm"&amp;"odity|crude|gold|natural gas""),""Commodity Trading Education"",
TRUE,""General Trading Education""
)
"),"Options Strategy Education")</f>
        <v>Options Strategy Education</v>
      </c>
    </row>
    <row r="207" ht="15.75" customHeight="1">
      <c r="A207" s="1" t="s">
        <v>1039</v>
      </c>
      <c r="B207" s="3" t="s">
        <v>1040</v>
      </c>
      <c r="C207" s="1" t="s">
        <v>1041</v>
      </c>
      <c r="D207" s="1" t="s">
        <v>1042</v>
      </c>
      <c r="E207" s="4">
        <v>45305.0</v>
      </c>
      <c r="F207" s="5">
        <v>0.4222222222222222</v>
      </c>
      <c r="G207" s="1">
        <v>17202.0</v>
      </c>
      <c r="H207" s="1">
        <v>863.0</v>
      </c>
      <c r="I207" s="1">
        <v>41.0</v>
      </c>
      <c r="J207" s="3" t="s">
        <v>1043</v>
      </c>
      <c r="K207" s="6">
        <f t="shared" si="1"/>
        <v>5.255202883</v>
      </c>
      <c r="L207" s="7">
        <f t="shared" si="2"/>
        <v>608</v>
      </c>
      <c r="M207" s="8">
        <f t="shared" si="3"/>
        <v>45299</v>
      </c>
      <c r="N207" s="9" t="str">
        <f>IFERROR(__xludf.DUMMYFUNCTION("IFS(
REGEXMATCH(LOWER(A207),""option|options""),""Options Strategy Education"",
REGEXMATCH(LOWER(A207),""bank nifty|nifty|index""),""Index Options"",
REGEXMATCH(LOWER(A207),""algo|api|systematic""),""Algo Trading / API Tutorial"",
REGEXMATCH(LOWER(A207),"&amp;"""groww|mtf|margin|pledge""),""Platform / Groww Feature Tutorial"",
REGEXMATCH(LOWER(A207),""candlestick|chart|price action|trendline|rsi|indicator""),""Technical Analysis / Chart Patterns"",
REGEXMATCH(LOWER(A207),""beginner|guide|start trading""),""Begi"&amp;"nner Trading Education"",
REGEXMATCH(LOWER(A207),""interview|journey|talks|wisdom""),""Expert Interview / Trading Insights"",
REGEXMATCH(LOWER(A207),""risk|loss|drawdown|psychology""),""Trading Psychology / Risk Management"",
REGEXMATCH(LOWER(A207),""comm"&amp;"odity|crude|gold|natural gas""),""Commodity Trading Education"",
TRUE,""General Trading Education""
)
"),"General Trading Education")</f>
        <v>General Trading Education</v>
      </c>
    </row>
    <row r="208" ht="15.75" customHeight="1">
      <c r="A208" s="1" t="s">
        <v>1044</v>
      </c>
      <c r="B208" s="3" t="s">
        <v>1045</v>
      </c>
      <c r="C208" s="1" t="s">
        <v>1046</v>
      </c>
      <c r="D208" s="1" t="s">
        <v>1047</v>
      </c>
      <c r="E208" s="4">
        <v>45302.0</v>
      </c>
      <c r="F208" s="10">
        <v>1.7215277777777778</v>
      </c>
      <c r="G208" s="1">
        <v>20371.0</v>
      </c>
      <c r="H208" s="1">
        <v>508.0</v>
      </c>
      <c r="I208" s="1">
        <v>26.0</v>
      </c>
      <c r="J208" s="3" t="s">
        <v>1048</v>
      </c>
      <c r="K208" s="6">
        <f t="shared" si="1"/>
        <v>2.621373521</v>
      </c>
      <c r="L208" s="7">
        <f t="shared" si="2"/>
        <v>2479</v>
      </c>
      <c r="M208" s="8">
        <f t="shared" si="3"/>
        <v>45299</v>
      </c>
      <c r="N208" s="9" t="str">
        <f>IFERROR(__xludf.DUMMYFUNCTION("IFS(
REGEXMATCH(LOWER(A208),""option|options""),""Options Strategy Education"",
REGEXMATCH(LOWER(A208),""bank nifty|nifty|index""),""Index Options"",
REGEXMATCH(LOWER(A208),""algo|api|systematic""),""Algo Trading / API Tutorial"",
REGEXMATCH(LOWER(A208),"&amp;"""groww|mtf|margin|pledge""),""Platform / Groww Feature Tutorial"",
REGEXMATCH(LOWER(A208),""candlestick|chart|price action|trendline|rsi|indicator""),""Technical Analysis / Chart Patterns"",
REGEXMATCH(LOWER(A208),""beginner|guide|start trading""),""Begi"&amp;"nner Trading Education"",
REGEXMATCH(LOWER(A208),""interview|journey|talks|wisdom""),""Expert Interview / Trading Insights"",
REGEXMATCH(LOWER(A208),""risk|loss|drawdown|psychology""),""Trading Psychology / Risk Management"",
REGEXMATCH(LOWER(A208),""comm"&amp;"odity|crude|gold|natural gas""),""Commodity Trading Education"",
TRUE,""General Trading Education""
)
"),"Options Strategy Education")</f>
        <v>Options Strategy Education</v>
      </c>
    </row>
    <row r="209" ht="15.75" customHeight="1">
      <c r="A209" s="1" t="s">
        <v>1049</v>
      </c>
      <c r="B209" s="3" t="s">
        <v>1050</v>
      </c>
      <c r="C209" s="1" t="s">
        <v>1051</v>
      </c>
      <c r="D209" s="1" t="s">
        <v>1052</v>
      </c>
      <c r="E209" s="4">
        <v>45300.0</v>
      </c>
      <c r="F209" s="5">
        <v>0.5131944444444444</v>
      </c>
      <c r="G209" s="1">
        <v>98432.0</v>
      </c>
      <c r="H209" s="1">
        <v>4429.0</v>
      </c>
      <c r="I209" s="1">
        <v>90.0</v>
      </c>
      <c r="J209" s="3" t="s">
        <v>1053</v>
      </c>
      <c r="K209" s="6">
        <f t="shared" si="1"/>
        <v>4.590986671</v>
      </c>
      <c r="L209" s="7">
        <f t="shared" si="2"/>
        <v>739</v>
      </c>
      <c r="M209" s="8">
        <f t="shared" si="3"/>
        <v>45299</v>
      </c>
      <c r="N209" s="9" t="str">
        <f>IFERROR(__xludf.DUMMYFUNCTION("IFS(
REGEXMATCH(LOWER(A209),""option|options""),""Options Strategy Education"",
REGEXMATCH(LOWER(A209),""bank nifty|nifty|index""),""Index Options"",
REGEXMATCH(LOWER(A209),""algo|api|systematic""),""Algo Trading / API Tutorial"",
REGEXMATCH(LOWER(A209),"&amp;"""groww|mtf|margin|pledge""),""Platform / Groww Feature Tutorial"",
REGEXMATCH(LOWER(A209),""candlestick|chart|price action|trendline|rsi|indicator""),""Technical Analysis / Chart Patterns"",
REGEXMATCH(LOWER(A209),""beginner|guide|start trading""),""Begi"&amp;"nner Trading Education"",
REGEXMATCH(LOWER(A209),""interview|journey|talks|wisdom""),""Expert Interview / Trading Insights"",
REGEXMATCH(LOWER(A209),""risk|loss|drawdown|psychology""),""Trading Psychology / Risk Management"",
REGEXMATCH(LOWER(A209),""comm"&amp;"odity|crude|gold|natural gas""),""Commodity Trading Education"",
TRUE,""General Trading Education""
)
"),"General Trading Education")</f>
        <v>General Trading Education</v>
      </c>
    </row>
    <row r="210" ht="15.75" customHeight="1">
      <c r="A210" s="1" t="s">
        <v>1054</v>
      </c>
      <c r="B210" s="3" t="s">
        <v>1055</v>
      </c>
      <c r="C210" s="1" t="s">
        <v>1056</v>
      </c>
      <c r="D210" s="1" t="s">
        <v>1057</v>
      </c>
      <c r="E210" s="4">
        <v>45298.0</v>
      </c>
      <c r="F210" s="5">
        <v>0.5784722222222223</v>
      </c>
      <c r="G210" s="1">
        <v>60087.0</v>
      </c>
      <c r="H210" s="1">
        <v>1857.0</v>
      </c>
      <c r="I210" s="1">
        <v>65.0</v>
      </c>
      <c r="J210" s="3" t="s">
        <v>1058</v>
      </c>
      <c r="K210" s="6">
        <f t="shared" si="1"/>
        <v>3.198695225</v>
      </c>
      <c r="L210" s="7">
        <f t="shared" si="2"/>
        <v>833</v>
      </c>
      <c r="M210" s="8">
        <f t="shared" si="3"/>
        <v>45292</v>
      </c>
      <c r="N210" s="9" t="str">
        <f>IFERROR(__xludf.DUMMYFUNCTION("IFS(
REGEXMATCH(LOWER(A210),""option|options""),""Options Strategy Education"",
REGEXMATCH(LOWER(A210),""bank nifty|nifty|index""),""Index Options"",
REGEXMATCH(LOWER(A210),""algo|api|systematic""),""Algo Trading / API Tutorial"",
REGEXMATCH(LOWER(A210),"&amp;"""groww|mtf|margin|pledge""),""Platform / Groww Feature Tutorial"",
REGEXMATCH(LOWER(A210),""candlestick|chart|price action|trendline|rsi|indicator""),""Technical Analysis / Chart Patterns"",
REGEXMATCH(LOWER(A210),""beginner|guide|start trading""),""Begi"&amp;"nner Trading Education"",
REGEXMATCH(LOWER(A210),""interview|journey|talks|wisdom""),""Expert Interview / Trading Insights"",
REGEXMATCH(LOWER(A210),""risk|loss|drawdown|psychology""),""Trading Psychology / Risk Management"",
REGEXMATCH(LOWER(A210),""comm"&amp;"odity|crude|gold|natural gas""),""Commodity Trading Education"",
TRUE,""General Trading Education""
)
"),"Trading Psychology / Risk Management")</f>
        <v>Trading Psychology / Risk Management</v>
      </c>
    </row>
    <row r="211" ht="15.75" customHeight="1">
      <c r="A211" s="1" t="s">
        <v>1059</v>
      </c>
      <c r="B211" s="3" t="s">
        <v>1060</v>
      </c>
      <c r="C211" s="1" t="s">
        <v>1061</v>
      </c>
      <c r="D211" s="1" t="s">
        <v>1062</v>
      </c>
      <c r="E211" s="4">
        <v>45295.0</v>
      </c>
      <c r="F211" s="5">
        <v>0.625</v>
      </c>
      <c r="G211" s="1">
        <v>5427.0</v>
      </c>
      <c r="H211" s="1">
        <v>208.0</v>
      </c>
      <c r="I211" s="1">
        <v>12.0</v>
      </c>
      <c r="J211" s="3" t="s">
        <v>1063</v>
      </c>
      <c r="K211" s="6">
        <f t="shared" si="1"/>
        <v>4.053805049</v>
      </c>
      <c r="L211" s="7">
        <f t="shared" si="2"/>
        <v>900</v>
      </c>
      <c r="M211" s="8">
        <f t="shared" si="3"/>
        <v>45292</v>
      </c>
      <c r="N211" s="9" t="str">
        <f>IFERROR(__xludf.DUMMYFUNCTION("IFS(
REGEXMATCH(LOWER(A211),""option|options""),""Options Strategy Education"",
REGEXMATCH(LOWER(A211),""bank nifty|nifty|index""),""Index Options"",
REGEXMATCH(LOWER(A211),""algo|api|systematic""),""Algo Trading / API Tutorial"",
REGEXMATCH(LOWER(A211),"&amp;"""groww|mtf|margin|pledge""),""Platform / Groww Feature Tutorial"",
REGEXMATCH(LOWER(A211),""candlestick|chart|price action|trendline|rsi|indicator""),""Technical Analysis / Chart Patterns"",
REGEXMATCH(LOWER(A211),""beginner|guide|start trading""),""Begi"&amp;"nner Trading Education"",
REGEXMATCH(LOWER(A211),""interview|journey|talks|wisdom""),""Expert Interview / Trading Insights"",
REGEXMATCH(LOWER(A211),""risk|loss|drawdown|psychology""),""Trading Psychology / Risk Management"",
REGEXMATCH(LOWER(A211),""comm"&amp;"odity|crude|gold|natural gas""),""Commodity Trading Education"",
TRUE,""General Trading Education""
)
"),"Index Options")</f>
        <v>Index Options</v>
      </c>
    </row>
    <row r="212" ht="15.75" customHeight="1">
      <c r="A212" s="1" t="s">
        <v>1064</v>
      </c>
      <c r="B212" s="3" t="s">
        <v>1065</v>
      </c>
      <c r="C212" s="1" t="s">
        <v>1066</v>
      </c>
      <c r="D212" s="1" t="s">
        <v>1067</v>
      </c>
      <c r="E212" s="4">
        <v>45293.0</v>
      </c>
      <c r="F212" s="5">
        <v>0.45069444444444445</v>
      </c>
      <c r="G212" s="1">
        <v>12460.0</v>
      </c>
      <c r="H212" s="1">
        <v>358.0</v>
      </c>
      <c r="I212" s="1">
        <v>10.0</v>
      </c>
      <c r="J212" s="3" t="s">
        <v>1068</v>
      </c>
      <c r="K212" s="6">
        <f t="shared" si="1"/>
        <v>2.953451043</v>
      </c>
      <c r="L212" s="7">
        <f t="shared" si="2"/>
        <v>649</v>
      </c>
      <c r="M212" s="8">
        <f t="shared" si="3"/>
        <v>45292</v>
      </c>
      <c r="N212" s="9" t="str">
        <f>IFERROR(__xludf.DUMMYFUNCTION("IFS(
REGEXMATCH(LOWER(A212),""option|options""),""Options Strategy Education"",
REGEXMATCH(LOWER(A212),""bank nifty|nifty|index""),""Index Options"",
REGEXMATCH(LOWER(A212),""algo|api|systematic""),""Algo Trading / API Tutorial"",
REGEXMATCH(LOWER(A212),"&amp;"""groww|mtf|margin|pledge""),""Platform / Groww Feature Tutorial"",
REGEXMATCH(LOWER(A212),""candlestick|chart|price action|trendline|rsi|indicator""),""Technical Analysis / Chart Patterns"",
REGEXMATCH(LOWER(A212),""beginner|guide|start trading""),""Begi"&amp;"nner Trading Education"",
REGEXMATCH(LOWER(A212),""interview|journey|talks|wisdom""),""Expert Interview / Trading Insights"",
REGEXMATCH(LOWER(A212),""risk|loss|drawdown|psychology""),""Trading Psychology / Risk Management"",
REGEXMATCH(LOWER(A212),""comm"&amp;"odity|crude|gold|natural gas""),""Commodity Trading Education"",
TRUE,""General Trading Education""
)
"),"General Trading Education")</f>
        <v>General Trading Education</v>
      </c>
    </row>
    <row r="213" ht="15.75" customHeight="1">
      <c r="A213" s="1" t="s">
        <v>1069</v>
      </c>
      <c r="B213" s="3" t="s">
        <v>1070</v>
      </c>
      <c r="C213" s="1" t="s">
        <v>1071</v>
      </c>
      <c r="D213" s="1" t="s">
        <v>1072</v>
      </c>
      <c r="E213" s="4">
        <v>45291.0</v>
      </c>
      <c r="F213" s="5">
        <v>0.5618055555555556</v>
      </c>
      <c r="G213" s="1">
        <v>84520.0</v>
      </c>
      <c r="H213" s="1">
        <v>2627.0</v>
      </c>
      <c r="I213" s="1">
        <v>48.0</v>
      </c>
      <c r="J213" s="3" t="s">
        <v>1073</v>
      </c>
      <c r="K213" s="6">
        <f t="shared" si="1"/>
        <v>3.164931377</v>
      </c>
      <c r="L213" s="7">
        <f t="shared" si="2"/>
        <v>809</v>
      </c>
      <c r="M213" s="8">
        <f t="shared" si="3"/>
        <v>45285</v>
      </c>
      <c r="N213" s="9" t="str">
        <f>IFERROR(__xludf.DUMMYFUNCTION("IFS(
REGEXMATCH(LOWER(A213),""option|options""),""Options Strategy Education"",
REGEXMATCH(LOWER(A213),""bank nifty|nifty|index""),""Index Options"",
REGEXMATCH(LOWER(A213),""algo|api|systematic""),""Algo Trading / API Tutorial"",
REGEXMATCH(LOWER(A213),"&amp;"""groww|mtf|margin|pledge""),""Platform / Groww Feature Tutorial"",
REGEXMATCH(LOWER(A213),""candlestick|chart|price action|trendline|rsi|indicator""),""Technical Analysis / Chart Patterns"",
REGEXMATCH(LOWER(A213),""beginner|guide|start trading""),""Begi"&amp;"nner Trading Education"",
REGEXMATCH(LOWER(A213),""interview|journey|talks|wisdom""),""Expert Interview / Trading Insights"",
REGEXMATCH(LOWER(A213),""risk|loss|drawdown|psychology""),""Trading Psychology / Risk Management"",
REGEXMATCH(LOWER(A213),""comm"&amp;"odity|crude|gold|natural gas""),""Commodity Trading Education"",
TRUE,""General Trading Education""
)
"),"Technical Analysis / Chart Patterns")</f>
        <v>Technical Analysis / Chart Patterns</v>
      </c>
    </row>
    <row r="214" ht="15.75" customHeight="1">
      <c r="A214" s="1" t="s">
        <v>1074</v>
      </c>
      <c r="B214" s="3" t="s">
        <v>1075</v>
      </c>
      <c r="C214" s="1" t="s">
        <v>1076</v>
      </c>
      <c r="D214" s="1" t="s">
        <v>1077</v>
      </c>
      <c r="E214" s="4">
        <v>45288.0</v>
      </c>
      <c r="F214" s="5">
        <v>0.7291666666666666</v>
      </c>
      <c r="G214" s="1">
        <v>4394.0</v>
      </c>
      <c r="H214" s="1">
        <v>126.0</v>
      </c>
      <c r="I214" s="1">
        <v>11.0</v>
      </c>
      <c r="J214" s="3" t="s">
        <v>1078</v>
      </c>
      <c r="K214" s="6">
        <f t="shared" si="1"/>
        <v>3.117888029</v>
      </c>
      <c r="L214" s="7">
        <f t="shared" si="2"/>
        <v>1050</v>
      </c>
      <c r="M214" s="8">
        <f t="shared" si="3"/>
        <v>45285</v>
      </c>
      <c r="N214" s="9" t="str">
        <f>IFERROR(__xludf.DUMMYFUNCTION("IFS(
REGEXMATCH(LOWER(A214),""option|options""),""Options Strategy Education"",
REGEXMATCH(LOWER(A214),""bank nifty|nifty|index""),""Index Options"",
REGEXMATCH(LOWER(A214),""algo|api|systematic""),""Algo Trading / API Tutorial"",
REGEXMATCH(LOWER(A214),"&amp;"""groww|mtf|margin|pledge""),""Platform / Groww Feature Tutorial"",
REGEXMATCH(LOWER(A214),""candlestick|chart|price action|trendline|rsi|indicator""),""Technical Analysis / Chart Patterns"",
REGEXMATCH(LOWER(A214),""beginner|guide|start trading""),""Begi"&amp;"nner Trading Education"",
REGEXMATCH(LOWER(A214),""interview|journey|talks|wisdom""),""Expert Interview / Trading Insights"",
REGEXMATCH(LOWER(A214),""risk|loss|drawdown|psychology""),""Trading Psychology / Risk Management"",
REGEXMATCH(LOWER(A214),""comm"&amp;"odity|crude|gold|natural gas""),""Commodity Trading Education"",
TRUE,""General Trading Education""
)
"),"Options Strategy Education")</f>
        <v>Options Strategy Education</v>
      </c>
    </row>
    <row r="215" ht="15.75" customHeight="1">
      <c r="A215" s="1" t="s">
        <v>1079</v>
      </c>
      <c r="B215" s="3" t="s">
        <v>1080</v>
      </c>
      <c r="C215" s="1" t="s">
        <v>1081</v>
      </c>
      <c r="D215" s="1" t="s">
        <v>1082</v>
      </c>
      <c r="E215" s="4">
        <v>45286.0</v>
      </c>
      <c r="F215" s="5">
        <v>0.6284722222222222</v>
      </c>
      <c r="G215" s="1">
        <v>23546.0</v>
      </c>
      <c r="H215" s="1">
        <v>871.0</v>
      </c>
      <c r="I215" s="1">
        <v>52.0</v>
      </c>
      <c r="J215" s="3" t="s">
        <v>1083</v>
      </c>
      <c r="K215" s="6">
        <f t="shared" si="1"/>
        <v>3.91998641</v>
      </c>
      <c r="L215" s="7">
        <f t="shared" si="2"/>
        <v>905</v>
      </c>
      <c r="M215" s="8">
        <f t="shared" si="3"/>
        <v>45285</v>
      </c>
      <c r="N215" s="9" t="str">
        <f>IFERROR(__xludf.DUMMYFUNCTION("IFS(
REGEXMATCH(LOWER(A215),""option|options""),""Options Strategy Education"",
REGEXMATCH(LOWER(A215),""bank nifty|nifty|index""),""Index Options"",
REGEXMATCH(LOWER(A215),""algo|api|systematic""),""Algo Trading / API Tutorial"",
REGEXMATCH(LOWER(A215),"&amp;"""groww|mtf|margin|pledge""),""Platform / Groww Feature Tutorial"",
REGEXMATCH(LOWER(A215),""candlestick|chart|price action|trendline|rsi|indicator""),""Technical Analysis / Chart Patterns"",
REGEXMATCH(LOWER(A215),""beginner|guide|start trading""),""Begi"&amp;"nner Trading Education"",
REGEXMATCH(LOWER(A215),""interview|journey|talks|wisdom""),""Expert Interview / Trading Insights"",
REGEXMATCH(LOWER(A215),""risk|loss|drawdown|psychology""),""Trading Psychology / Risk Management"",
REGEXMATCH(LOWER(A215),""comm"&amp;"odity|crude|gold|natural gas""),""Commodity Trading Education"",
TRUE,""General Trading Education""
)
"),"Technical Analysis / Chart Patterns")</f>
        <v>Technical Analysis / Chart Patterns</v>
      </c>
    </row>
    <row r="216" ht="15.75" customHeight="1">
      <c r="A216" s="1" t="s">
        <v>1084</v>
      </c>
      <c r="B216" s="3" t="s">
        <v>1085</v>
      </c>
      <c r="C216" s="1" t="s">
        <v>1086</v>
      </c>
      <c r="D216" s="1" t="s">
        <v>1087</v>
      </c>
      <c r="E216" s="4">
        <v>45284.0</v>
      </c>
      <c r="F216" s="5">
        <v>0.35</v>
      </c>
      <c r="G216" s="1">
        <v>16164.0</v>
      </c>
      <c r="H216" s="1">
        <v>1144.0</v>
      </c>
      <c r="I216" s="1">
        <v>54.0</v>
      </c>
      <c r="J216" s="3" t="s">
        <v>1088</v>
      </c>
      <c r="K216" s="6">
        <f t="shared" si="1"/>
        <v>7.411531799</v>
      </c>
      <c r="L216" s="7">
        <f t="shared" si="2"/>
        <v>504</v>
      </c>
      <c r="M216" s="8">
        <f t="shared" si="3"/>
        <v>45278</v>
      </c>
      <c r="N216" s="9" t="str">
        <f>IFERROR(__xludf.DUMMYFUNCTION("IFS(
REGEXMATCH(LOWER(A216),""option|options""),""Options Strategy Education"",
REGEXMATCH(LOWER(A216),""bank nifty|nifty|index""),""Index Options"",
REGEXMATCH(LOWER(A216),""algo|api|systematic""),""Algo Trading / API Tutorial"",
REGEXMATCH(LOWER(A216),"&amp;"""groww|mtf|margin|pledge""),""Platform / Groww Feature Tutorial"",
REGEXMATCH(LOWER(A216),""candlestick|chart|price action|trendline|rsi|indicator""),""Technical Analysis / Chart Patterns"",
REGEXMATCH(LOWER(A216),""beginner|guide|start trading""),""Begi"&amp;"nner Trading Education"",
REGEXMATCH(LOWER(A216),""interview|journey|talks|wisdom""),""Expert Interview / Trading Insights"",
REGEXMATCH(LOWER(A216),""risk|loss|drawdown|psychology""),""Trading Psychology / Risk Management"",
REGEXMATCH(LOWER(A216),""comm"&amp;"odity|crude|gold|natural gas""),""Commodity Trading Education"",
TRUE,""General Trading Education""
)
"),"Trading Psychology / Risk Management")</f>
        <v>Trading Psychology / Risk Management</v>
      </c>
    </row>
    <row r="217" ht="15.75" customHeight="1">
      <c r="A217" s="1" t="s">
        <v>1089</v>
      </c>
      <c r="B217" s="3" t="s">
        <v>1090</v>
      </c>
      <c r="C217" s="1" t="s">
        <v>1091</v>
      </c>
      <c r="D217" s="1" t="s">
        <v>1092</v>
      </c>
      <c r="E217" s="4">
        <v>45283.0</v>
      </c>
      <c r="F217" s="5">
        <v>0.45625</v>
      </c>
      <c r="G217" s="1">
        <v>20112.0</v>
      </c>
      <c r="H217" s="1">
        <v>933.0</v>
      </c>
      <c r="I217" s="1">
        <v>38.0</v>
      </c>
      <c r="J217" s="3" t="s">
        <v>1093</v>
      </c>
      <c r="K217" s="6">
        <f t="shared" si="1"/>
        <v>4.827963405</v>
      </c>
      <c r="L217" s="7">
        <f t="shared" si="2"/>
        <v>657</v>
      </c>
      <c r="M217" s="8">
        <f t="shared" si="3"/>
        <v>45278</v>
      </c>
      <c r="N217" s="9" t="str">
        <f>IFERROR(__xludf.DUMMYFUNCTION("IFS(
REGEXMATCH(LOWER(A217),""option|options""),""Options Strategy Education"",
REGEXMATCH(LOWER(A217),""bank nifty|nifty|index""),""Index Options"",
REGEXMATCH(LOWER(A217),""algo|api|systematic""),""Algo Trading / API Tutorial"",
REGEXMATCH(LOWER(A217),"&amp;"""groww|mtf|margin|pledge""),""Platform / Groww Feature Tutorial"",
REGEXMATCH(LOWER(A217),""candlestick|chart|price action|trendline|rsi|indicator""),""Technical Analysis / Chart Patterns"",
REGEXMATCH(LOWER(A217),""beginner|guide|start trading""),""Begi"&amp;"nner Trading Education"",
REGEXMATCH(LOWER(A217),""interview|journey|talks|wisdom""),""Expert Interview / Trading Insights"",
REGEXMATCH(LOWER(A217),""risk|loss|drawdown|psychology""),""Trading Psychology / Risk Management"",
REGEXMATCH(LOWER(A217),""comm"&amp;"odity|crude|gold|natural gas""),""Commodity Trading Education"",
TRUE,""General Trading Education""
)
"),"Technical Analysis / Chart Patterns")</f>
        <v>Technical Analysis / Chart Patterns</v>
      </c>
    </row>
    <row r="218" ht="15.75" customHeight="1">
      <c r="A218" s="1" t="s">
        <v>1094</v>
      </c>
      <c r="B218" s="3" t="s">
        <v>1095</v>
      </c>
      <c r="C218" s="1" t="s">
        <v>1096</v>
      </c>
      <c r="D218" s="1" t="s">
        <v>1097</v>
      </c>
      <c r="E218" s="4">
        <v>45281.0</v>
      </c>
      <c r="F218" s="5">
        <v>0.6673611111111111</v>
      </c>
      <c r="G218" s="1">
        <v>11105.0</v>
      </c>
      <c r="H218" s="1">
        <v>397.0</v>
      </c>
      <c r="I218" s="1">
        <v>21.0</v>
      </c>
      <c r="J218" s="3" t="s">
        <v>1098</v>
      </c>
      <c r="K218" s="6">
        <f t="shared" si="1"/>
        <v>3.764070239</v>
      </c>
      <c r="L218" s="7">
        <f t="shared" si="2"/>
        <v>961</v>
      </c>
      <c r="M218" s="8">
        <f t="shared" si="3"/>
        <v>45278</v>
      </c>
      <c r="N218" s="9" t="str">
        <f>IFERROR(__xludf.DUMMYFUNCTION("IFS(
REGEXMATCH(LOWER(A218),""option|options""),""Options Strategy Education"",
REGEXMATCH(LOWER(A218),""bank nifty|nifty|index""),""Index Options"",
REGEXMATCH(LOWER(A218),""algo|api|systematic""),""Algo Trading / API Tutorial"",
REGEXMATCH(LOWER(A218),"&amp;"""groww|mtf|margin|pledge""),""Platform / Groww Feature Tutorial"",
REGEXMATCH(LOWER(A218),""candlestick|chart|price action|trendline|rsi|indicator""),""Technical Analysis / Chart Patterns"",
REGEXMATCH(LOWER(A218),""beginner|guide|start trading""),""Begi"&amp;"nner Trading Education"",
REGEXMATCH(LOWER(A218),""interview|journey|talks|wisdom""),""Expert Interview / Trading Insights"",
REGEXMATCH(LOWER(A218),""risk|loss|drawdown|psychology""),""Trading Psychology / Risk Management"",
REGEXMATCH(LOWER(A218),""comm"&amp;"odity|crude|gold|natural gas""),""Commodity Trading Education"",
TRUE,""General Trading Education""
)
"),"General Trading Education")</f>
        <v>General Trading Education</v>
      </c>
    </row>
    <row r="219" ht="15.75" customHeight="1">
      <c r="A219" s="1" t="s">
        <v>1099</v>
      </c>
      <c r="B219" s="3" t="s">
        <v>1100</v>
      </c>
      <c r="C219" s="1" t="s">
        <v>1101</v>
      </c>
      <c r="D219" s="1" t="s">
        <v>1102</v>
      </c>
      <c r="E219" s="4">
        <v>45279.0</v>
      </c>
      <c r="F219" s="5">
        <v>0.5347222222222222</v>
      </c>
      <c r="G219" s="1">
        <v>25968.0</v>
      </c>
      <c r="H219" s="1">
        <v>869.0</v>
      </c>
      <c r="I219" s="1">
        <v>25.0</v>
      </c>
      <c r="J219" s="3" t="s">
        <v>1103</v>
      </c>
      <c r="K219" s="6">
        <f t="shared" si="1"/>
        <v>3.442698706</v>
      </c>
      <c r="L219" s="7">
        <f t="shared" si="2"/>
        <v>770</v>
      </c>
      <c r="M219" s="8">
        <f t="shared" si="3"/>
        <v>45278</v>
      </c>
      <c r="N219" s="9" t="str">
        <f>IFERROR(__xludf.DUMMYFUNCTION("IFS(
REGEXMATCH(LOWER(A219),""option|options""),""Options Strategy Education"",
REGEXMATCH(LOWER(A219),""bank nifty|nifty|index""),""Index Options"",
REGEXMATCH(LOWER(A219),""algo|api|systematic""),""Algo Trading / API Tutorial"",
REGEXMATCH(LOWER(A219),"&amp;"""groww|mtf|margin|pledge""),""Platform / Groww Feature Tutorial"",
REGEXMATCH(LOWER(A219),""candlestick|chart|price action|trendline|rsi|indicator""),""Technical Analysis / Chart Patterns"",
REGEXMATCH(LOWER(A219),""beginner|guide|start trading""),""Begi"&amp;"nner Trading Education"",
REGEXMATCH(LOWER(A219),""interview|journey|talks|wisdom""),""Expert Interview / Trading Insights"",
REGEXMATCH(LOWER(A219),""risk|loss|drawdown|psychology""),""Trading Psychology / Risk Management"",
REGEXMATCH(LOWER(A219),""comm"&amp;"odity|crude|gold|natural gas""),""Commodity Trading Education"",
TRUE,""General Trading Education""
)
"),"Technical Analysis / Chart Patterns")</f>
        <v>Technical Analysis / Chart Patterns</v>
      </c>
    </row>
    <row r="220" ht="15.75" customHeight="1">
      <c r="A220" s="1" t="s">
        <v>1104</v>
      </c>
      <c r="B220" s="3" t="s">
        <v>1105</v>
      </c>
      <c r="C220" s="1" t="s">
        <v>1106</v>
      </c>
      <c r="D220" s="1" t="s">
        <v>1107</v>
      </c>
      <c r="E220" s="4">
        <v>45277.0</v>
      </c>
      <c r="F220" s="5">
        <v>0.3402777777777778</v>
      </c>
      <c r="G220" s="1">
        <v>19206.0</v>
      </c>
      <c r="H220" s="1">
        <v>1270.0</v>
      </c>
      <c r="I220" s="1">
        <v>71.0</v>
      </c>
      <c r="J220" s="3" t="s">
        <v>1108</v>
      </c>
      <c r="K220" s="6">
        <f t="shared" si="1"/>
        <v>6.982193065</v>
      </c>
      <c r="L220" s="7">
        <f t="shared" si="2"/>
        <v>490</v>
      </c>
      <c r="M220" s="8">
        <f t="shared" si="3"/>
        <v>45271</v>
      </c>
      <c r="N220" s="9" t="str">
        <f>IFERROR(__xludf.DUMMYFUNCTION("IFS(
REGEXMATCH(LOWER(A220),""option|options""),""Options Strategy Education"",
REGEXMATCH(LOWER(A220),""bank nifty|nifty|index""),""Index Options"",
REGEXMATCH(LOWER(A220),""algo|api|systematic""),""Algo Trading / API Tutorial"",
REGEXMATCH(LOWER(A220),"&amp;"""groww|mtf|margin|pledge""),""Platform / Groww Feature Tutorial"",
REGEXMATCH(LOWER(A220),""candlestick|chart|price action|trendline|rsi|indicator""),""Technical Analysis / Chart Patterns"",
REGEXMATCH(LOWER(A220),""beginner|guide|start trading""),""Begi"&amp;"nner Trading Education"",
REGEXMATCH(LOWER(A220),""interview|journey|talks|wisdom""),""Expert Interview / Trading Insights"",
REGEXMATCH(LOWER(A220),""risk|loss|drawdown|psychology""),""Trading Psychology / Risk Management"",
REGEXMATCH(LOWER(A220),""comm"&amp;"odity|crude|gold|natural gas""),""Commodity Trading Education"",
TRUE,""General Trading Education""
)
"),"General Trading Education")</f>
        <v>General Trading Education</v>
      </c>
    </row>
    <row r="221" ht="15.75" customHeight="1">
      <c r="A221" s="1" t="s">
        <v>1109</v>
      </c>
      <c r="B221" s="3" t="s">
        <v>1110</v>
      </c>
      <c r="C221" s="1" t="s">
        <v>1111</v>
      </c>
      <c r="D221" s="1" t="s">
        <v>1112</v>
      </c>
      <c r="E221" s="4">
        <v>45276.0</v>
      </c>
      <c r="F221" s="5">
        <v>0.6458333333333334</v>
      </c>
      <c r="G221" s="1">
        <v>54064.0</v>
      </c>
      <c r="H221" s="1">
        <v>2467.0</v>
      </c>
      <c r="I221" s="1">
        <v>151.0</v>
      </c>
      <c r="J221" s="3" t="s">
        <v>1113</v>
      </c>
      <c r="K221" s="6">
        <f t="shared" si="1"/>
        <v>4.842408997</v>
      </c>
      <c r="L221" s="7">
        <f t="shared" si="2"/>
        <v>930</v>
      </c>
      <c r="M221" s="8">
        <f t="shared" si="3"/>
        <v>45271</v>
      </c>
      <c r="N221" s="9" t="str">
        <f>IFERROR(__xludf.DUMMYFUNCTION("IFS(
REGEXMATCH(LOWER(A221),""option|options""),""Options Strategy Education"",
REGEXMATCH(LOWER(A221),""bank nifty|nifty|index""),""Index Options"",
REGEXMATCH(LOWER(A221),""algo|api|systematic""),""Algo Trading / API Tutorial"",
REGEXMATCH(LOWER(A221),"&amp;"""groww|mtf|margin|pledge""),""Platform / Groww Feature Tutorial"",
REGEXMATCH(LOWER(A221),""candlestick|chart|price action|trendline|rsi|indicator""),""Technical Analysis / Chart Patterns"",
REGEXMATCH(LOWER(A221),""beginner|guide|start trading""),""Begi"&amp;"nner Trading Education"",
REGEXMATCH(LOWER(A221),""interview|journey|talks|wisdom""),""Expert Interview / Trading Insights"",
REGEXMATCH(LOWER(A221),""risk|loss|drawdown|psychology""),""Trading Psychology / Risk Management"",
REGEXMATCH(LOWER(A221),""comm"&amp;"odity|crude|gold|natural gas""),""Commodity Trading Education"",
TRUE,""General Trading Education""
)
"),"Beginner Trading Education")</f>
        <v>Beginner Trading Education</v>
      </c>
    </row>
    <row r="222" ht="15.75" customHeight="1">
      <c r="A222" s="1" t="s">
        <v>1114</v>
      </c>
      <c r="B222" s="3" t="s">
        <v>1115</v>
      </c>
      <c r="C222" s="1" t="s">
        <v>1116</v>
      </c>
      <c r="D222" s="1" t="s">
        <v>1117</v>
      </c>
      <c r="E222" s="4">
        <v>45274.0</v>
      </c>
      <c r="F222" s="10">
        <v>1.1152777777777778</v>
      </c>
      <c r="G222" s="1">
        <v>22978.0</v>
      </c>
      <c r="H222" s="1">
        <v>742.0</v>
      </c>
      <c r="I222" s="1">
        <v>19.0</v>
      </c>
      <c r="J222" s="3" t="s">
        <v>1118</v>
      </c>
      <c r="K222" s="6">
        <f t="shared" si="1"/>
        <v>3.311863522</v>
      </c>
      <c r="L222" s="7">
        <f t="shared" si="2"/>
        <v>1606</v>
      </c>
      <c r="M222" s="8">
        <f t="shared" si="3"/>
        <v>45271</v>
      </c>
      <c r="N222" s="9" t="str">
        <f>IFERROR(__xludf.DUMMYFUNCTION("IFS(
REGEXMATCH(LOWER(A222),""option|options""),""Options Strategy Education"",
REGEXMATCH(LOWER(A222),""bank nifty|nifty|index""),""Index Options"",
REGEXMATCH(LOWER(A222),""algo|api|systematic""),""Algo Trading / API Tutorial"",
REGEXMATCH(LOWER(A222),"&amp;"""groww|mtf|margin|pledge""),""Platform / Groww Feature Tutorial"",
REGEXMATCH(LOWER(A222),""candlestick|chart|price action|trendline|rsi|indicator""),""Technical Analysis / Chart Patterns"",
REGEXMATCH(LOWER(A222),""beginner|guide|start trading""),""Begi"&amp;"nner Trading Education"",
REGEXMATCH(LOWER(A222),""interview|journey|talks|wisdom""),""Expert Interview / Trading Insights"",
REGEXMATCH(LOWER(A222),""risk|loss|drawdown|psychology""),""Trading Psychology / Risk Management"",
REGEXMATCH(LOWER(A222),""comm"&amp;"odity|crude|gold|natural gas""),""Commodity Trading Education"",
TRUE,""General Trading Education""
)
"),"General Trading Education")</f>
        <v>General Trading Education</v>
      </c>
    </row>
    <row r="223" ht="15.75" customHeight="1">
      <c r="A223" s="1" t="s">
        <v>1119</v>
      </c>
      <c r="B223" s="3" t="s">
        <v>1120</v>
      </c>
      <c r="C223" s="1" t="s">
        <v>1121</v>
      </c>
      <c r="D223" s="1" t="s">
        <v>1122</v>
      </c>
      <c r="E223" s="4">
        <v>45272.0</v>
      </c>
      <c r="F223" s="5">
        <v>0.4979166666666667</v>
      </c>
      <c r="G223" s="1">
        <v>20104.0</v>
      </c>
      <c r="H223" s="1">
        <v>357.0</v>
      </c>
      <c r="I223" s="1">
        <v>19.0</v>
      </c>
      <c r="J223" s="3" t="s">
        <v>1123</v>
      </c>
      <c r="K223" s="6">
        <f t="shared" si="1"/>
        <v>1.870274572</v>
      </c>
      <c r="L223" s="7">
        <f t="shared" si="2"/>
        <v>717</v>
      </c>
      <c r="M223" s="8">
        <f t="shared" si="3"/>
        <v>45271</v>
      </c>
      <c r="N223" s="9" t="str">
        <f>IFERROR(__xludf.DUMMYFUNCTION("IFS(
REGEXMATCH(LOWER(A223),""option|options""),""Options Strategy Education"",
REGEXMATCH(LOWER(A223),""bank nifty|nifty|index""),""Index Options"",
REGEXMATCH(LOWER(A223),""algo|api|systematic""),""Algo Trading / API Tutorial"",
REGEXMATCH(LOWER(A223),"&amp;"""groww|mtf|margin|pledge""),""Platform / Groww Feature Tutorial"",
REGEXMATCH(LOWER(A223),""candlestick|chart|price action|trendline|rsi|indicator""),""Technical Analysis / Chart Patterns"",
REGEXMATCH(LOWER(A223),""beginner|guide|start trading""),""Begi"&amp;"nner Trading Education"",
REGEXMATCH(LOWER(A223),""interview|journey|talks|wisdom""),""Expert Interview / Trading Insights"",
REGEXMATCH(LOWER(A223),""risk|loss|drawdown|psychology""),""Trading Psychology / Risk Management"",
REGEXMATCH(LOWER(A223),""comm"&amp;"odity|crude|gold|natural gas""),""Commodity Trading Education"",
TRUE,""General Trading Education""
)
"),"Beginner Trading Education")</f>
        <v>Beginner Trading Education</v>
      </c>
    </row>
    <row r="224" ht="15.75" customHeight="1">
      <c r="A224" s="1" t="s">
        <v>1124</v>
      </c>
      <c r="B224" s="3" t="s">
        <v>1125</v>
      </c>
      <c r="C224" s="1" t="s">
        <v>1126</v>
      </c>
      <c r="D224" s="1" t="s">
        <v>1127</v>
      </c>
      <c r="E224" s="4">
        <v>45270.0</v>
      </c>
      <c r="F224" s="5">
        <v>0.46111111111111114</v>
      </c>
      <c r="G224" s="1">
        <v>13773.0</v>
      </c>
      <c r="H224" s="1">
        <v>835.0</v>
      </c>
      <c r="I224" s="1">
        <v>29.0</v>
      </c>
      <c r="J224" s="3" t="s">
        <v>1128</v>
      </c>
      <c r="K224" s="6">
        <f t="shared" si="1"/>
        <v>6.273143106</v>
      </c>
      <c r="L224" s="7">
        <f t="shared" si="2"/>
        <v>664</v>
      </c>
      <c r="M224" s="8">
        <f t="shared" si="3"/>
        <v>45264</v>
      </c>
      <c r="N224" s="9" t="str">
        <f>IFERROR(__xludf.DUMMYFUNCTION("IFS(
REGEXMATCH(LOWER(A224),""option|options""),""Options Strategy Education"",
REGEXMATCH(LOWER(A224),""bank nifty|nifty|index""),""Index Options"",
REGEXMATCH(LOWER(A224),""algo|api|systematic""),""Algo Trading / API Tutorial"",
REGEXMATCH(LOWER(A224),"&amp;"""groww|mtf|margin|pledge""),""Platform / Groww Feature Tutorial"",
REGEXMATCH(LOWER(A224),""candlestick|chart|price action|trendline|rsi|indicator""),""Technical Analysis / Chart Patterns"",
REGEXMATCH(LOWER(A224),""beginner|guide|start trading""),""Begi"&amp;"nner Trading Education"",
REGEXMATCH(LOWER(A224),""interview|journey|talks|wisdom""),""Expert Interview / Trading Insights"",
REGEXMATCH(LOWER(A224),""risk|loss|drawdown|psychology""),""Trading Psychology / Risk Management"",
REGEXMATCH(LOWER(A224),""comm"&amp;"odity|crude|gold|natural gas""),""Commodity Trading Education"",
TRUE,""General Trading Education""
)
"),"Beginner Trading Education")</f>
        <v>Beginner Trading Education</v>
      </c>
    </row>
    <row r="225" ht="15.75" customHeight="1">
      <c r="A225" s="1" t="s">
        <v>1129</v>
      </c>
      <c r="B225" s="3" t="s">
        <v>1130</v>
      </c>
      <c r="C225" s="1" t="s">
        <v>1131</v>
      </c>
      <c r="D225" s="1" t="s">
        <v>1132</v>
      </c>
      <c r="E225" s="4">
        <v>45269.0</v>
      </c>
      <c r="F225" s="10">
        <v>1.7881944444444444</v>
      </c>
      <c r="G225" s="1">
        <v>99791.0</v>
      </c>
      <c r="H225" s="1">
        <v>2650.0</v>
      </c>
      <c r="I225" s="1">
        <v>87.0</v>
      </c>
      <c r="J225" s="3" t="s">
        <v>1133</v>
      </c>
      <c r="K225" s="6">
        <f t="shared" si="1"/>
        <v>2.742732311</v>
      </c>
      <c r="L225" s="7">
        <f t="shared" si="2"/>
        <v>2575</v>
      </c>
      <c r="M225" s="8">
        <f t="shared" si="3"/>
        <v>45264</v>
      </c>
      <c r="N225" s="9" t="str">
        <f>IFERROR(__xludf.DUMMYFUNCTION("IFS(
REGEXMATCH(LOWER(A225),""option|options""),""Options Strategy Education"",
REGEXMATCH(LOWER(A225),""bank nifty|nifty|index""),""Index Options"",
REGEXMATCH(LOWER(A225),""algo|api|systematic""),""Algo Trading / API Tutorial"",
REGEXMATCH(LOWER(A225),"&amp;"""groww|mtf|margin|pledge""),""Platform / Groww Feature Tutorial"",
REGEXMATCH(LOWER(A225),""candlestick|chart|price action|trendline|rsi|indicator""),""Technical Analysis / Chart Patterns"",
REGEXMATCH(LOWER(A225),""beginner|guide|start trading""),""Begi"&amp;"nner Trading Education"",
REGEXMATCH(LOWER(A225),""interview|journey|talks|wisdom""),""Expert Interview / Trading Insights"",
REGEXMATCH(LOWER(A225),""risk|loss|drawdown|psychology""),""Trading Psychology / Risk Management"",
REGEXMATCH(LOWER(A225),""comm"&amp;"odity|crude|gold|natural gas""),""Commodity Trading Education"",
TRUE,""General Trading Education""
)
"),"Technical Analysis / Chart Patterns")</f>
        <v>Technical Analysis / Chart Patterns</v>
      </c>
    </row>
    <row r="226" ht="15.75" customHeight="1">
      <c r="A226" s="1" t="s">
        <v>1134</v>
      </c>
      <c r="B226" s="3" t="s">
        <v>1135</v>
      </c>
      <c r="C226" s="1" t="s">
        <v>1136</v>
      </c>
      <c r="D226" s="1" t="s">
        <v>1137</v>
      </c>
      <c r="E226" s="4">
        <v>45267.0</v>
      </c>
      <c r="F226" s="5">
        <v>0.8708333333333333</v>
      </c>
      <c r="G226" s="1">
        <v>7038.0</v>
      </c>
      <c r="H226" s="1">
        <v>207.0</v>
      </c>
      <c r="I226" s="1">
        <v>8.0</v>
      </c>
      <c r="J226" s="3" t="s">
        <v>1138</v>
      </c>
      <c r="K226" s="6">
        <f t="shared" si="1"/>
        <v>3.054845126</v>
      </c>
      <c r="L226" s="7">
        <f t="shared" si="2"/>
        <v>1254</v>
      </c>
      <c r="M226" s="8">
        <f t="shared" si="3"/>
        <v>45264</v>
      </c>
      <c r="N226" s="9" t="str">
        <f>IFERROR(__xludf.DUMMYFUNCTION("IFS(
REGEXMATCH(LOWER(A226),""option|options""),""Options Strategy Education"",
REGEXMATCH(LOWER(A226),""bank nifty|nifty|index""),""Index Options"",
REGEXMATCH(LOWER(A226),""algo|api|systematic""),""Algo Trading / API Tutorial"",
REGEXMATCH(LOWER(A226),"&amp;"""groww|mtf|margin|pledge""),""Platform / Groww Feature Tutorial"",
REGEXMATCH(LOWER(A226),""candlestick|chart|price action|trendline|rsi|indicator""),""Technical Analysis / Chart Patterns"",
REGEXMATCH(LOWER(A226),""beginner|guide|start trading""),""Begi"&amp;"nner Trading Education"",
REGEXMATCH(LOWER(A226),""interview|journey|talks|wisdom""),""Expert Interview / Trading Insights"",
REGEXMATCH(LOWER(A226),""risk|loss|drawdown|psychology""),""Trading Psychology / Risk Management"",
REGEXMATCH(LOWER(A226),""comm"&amp;"odity|crude|gold|natural gas""),""Commodity Trading Education"",
TRUE,""General Trading Education""
)
"),"Options Strategy Education")</f>
        <v>Options Strategy Education</v>
      </c>
    </row>
    <row r="227" ht="15.75" customHeight="1">
      <c r="A227" s="1" t="s">
        <v>1139</v>
      </c>
      <c r="B227" s="3" t="s">
        <v>1140</v>
      </c>
      <c r="C227" s="1" t="s">
        <v>1141</v>
      </c>
      <c r="D227" s="1" t="s">
        <v>1142</v>
      </c>
      <c r="E227" s="4">
        <v>45265.0</v>
      </c>
      <c r="F227" s="5">
        <v>0.5076388888888889</v>
      </c>
      <c r="G227" s="1">
        <v>13520.0</v>
      </c>
      <c r="H227" s="1">
        <v>596.0</v>
      </c>
      <c r="I227" s="1">
        <v>21.0</v>
      </c>
      <c r="J227" s="3" t="s">
        <v>1143</v>
      </c>
      <c r="K227" s="6">
        <f t="shared" si="1"/>
        <v>4.563609467</v>
      </c>
      <c r="L227" s="7">
        <f t="shared" si="2"/>
        <v>731</v>
      </c>
      <c r="M227" s="8">
        <f t="shared" si="3"/>
        <v>45264</v>
      </c>
      <c r="N227" s="9" t="str">
        <f>IFERROR(__xludf.DUMMYFUNCTION("IFS(
REGEXMATCH(LOWER(A227),""option|options""),""Options Strategy Education"",
REGEXMATCH(LOWER(A227),""bank nifty|nifty|index""),""Index Options"",
REGEXMATCH(LOWER(A227),""algo|api|systematic""),""Algo Trading / API Tutorial"",
REGEXMATCH(LOWER(A227),"&amp;"""groww|mtf|margin|pledge""),""Platform / Groww Feature Tutorial"",
REGEXMATCH(LOWER(A227),""candlestick|chart|price action|trendline|rsi|indicator""),""Technical Analysis / Chart Patterns"",
REGEXMATCH(LOWER(A227),""beginner|guide|start trading""),""Begi"&amp;"nner Trading Education"",
REGEXMATCH(LOWER(A227),""interview|journey|talks|wisdom""),""Expert Interview / Trading Insights"",
REGEXMATCH(LOWER(A227),""risk|loss|drawdown|psychology""),""Trading Psychology / Risk Management"",
REGEXMATCH(LOWER(A227),""comm"&amp;"odity|crude|gold|natural gas""),""Commodity Trading Education"",
TRUE,""General Trading Education""
)
"),"Options Strategy Education")</f>
        <v>Options Strategy Education</v>
      </c>
    </row>
    <row r="228" ht="15.75" customHeight="1">
      <c r="A228" s="1" t="s">
        <v>1144</v>
      </c>
      <c r="B228" s="3" t="s">
        <v>1145</v>
      </c>
      <c r="C228" s="1" t="s">
        <v>1146</v>
      </c>
      <c r="D228" s="1" t="s">
        <v>1147</v>
      </c>
      <c r="E228" s="4">
        <v>45263.0</v>
      </c>
      <c r="F228" s="5">
        <v>0.4041666666666667</v>
      </c>
      <c r="G228" s="1">
        <v>27445.0</v>
      </c>
      <c r="H228" s="1">
        <v>1274.0</v>
      </c>
      <c r="I228" s="1">
        <v>43.0</v>
      </c>
      <c r="J228" s="3" t="s">
        <v>1148</v>
      </c>
      <c r="K228" s="6">
        <f t="shared" si="1"/>
        <v>4.798688286</v>
      </c>
      <c r="L228" s="7">
        <f t="shared" si="2"/>
        <v>582</v>
      </c>
      <c r="M228" s="8">
        <f t="shared" si="3"/>
        <v>45257</v>
      </c>
      <c r="N228" s="9" t="str">
        <f>IFERROR(__xludf.DUMMYFUNCTION("IFS(
REGEXMATCH(LOWER(A228),""option|options""),""Options Strategy Education"",
REGEXMATCH(LOWER(A228),""bank nifty|nifty|index""),""Index Options"",
REGEXMATCH(LOWER(A228),""algo|api|systematic""),""Algo Trading / API Tutorial"",
REGEXMATCH(LOWER(A228),"&amp;"""groww|mtf|margin|pledge""),""Platform / Groww Feature Tutorial"",
REGEXMATCH(LOWER(A228),""candlestick|chart|price action|trendline|rsi|indicator""),""Technical Analysis / Chart Patterns"",
REGEXMATCH(LOWER(A228),""beginner|guide|start trading""),""Begi"&amp;"nner Trading Education"",
REGEXMATCH(LOWER(A228),""interview|journey|talks|wisdom""),""Expert Interview / Trading Insights"",
REGEXMATCH(LOWER(A228),""risk|loss|drawdown|psychology""),""Trading Psychology / Risk Management"",
REGEXMATCH(LOWER(A228),""comm"&amp;"odity|crude|gold|natural gas""),""Commodity Trading Education"",
TRUE,""General Trading Education""
)
"),"Technical Analysis / Chart Patterns")</f>
        <v>Technical Analysis / Chart Patterns</v>
      </c>
    </row>
    <row r="229" ht="15.75" customHeight="1">
      <c r="A229" s="1" t="s">
        <v>1149</v>
      </c>
      <c r="B229" s="3" t="s">
        <v>1150</v>
      </c>
      <c r="C229" s="1" t="s">
        <v>1151</v>
      </c>
      <c r="D229" s="1" t="s">
        <v>1152</v>
      </c>
      <c r="E229" s="4">
        <v>45262.0</v>
      </c>
      <c r="F229" s="5">
        <v>0.8159722222222222</v>
      </c>
      <c r="G229" s="1">
        <v>70875.0</v>
      </c>
      <c r="H229" s="1">
        <v>2401.0</v>
      </c>
      <c r="I229" s="1">
        <v>78.0</v>
      </c>
      <c r="J229" s="3" t="s">
        <v>1153</v>
      </c>
      <c r="K229" s="6">
        <f t="shared" si="1"/>
        <v>3.497707231</v>
      </c>
      <c r="L229" s="7">
        <f t="shared" si="2"/>
        <v>1175</v>
      </c>
      <c r="M229" s="8">
        <f t="shared" si="3"/>
        <v>45257</v>
      </c>
      <c r="N229" s="9" t="str">
        <f>IFERROR(__xludf.DUMMYFUNCTION("IFS(
REGEXMATCH(LOWER(A229),""option|options""),""Options Strategy Education"",
REGEXMATCH(LOWER(A229),""bank nifty|nifty|index""),""Index Options"",
REGEXMATCH(LOWER(A229),""algo|api|systematic""),""Algo Trading / API Tutorial"",
REGEXMATCH(LOWER(A229),"&amp;"""groww|mtf|margin|pledge""),""Platform / Groww Feature Tutorial"",
REGEXMATCH(LOWER(A229),""candlestick|chart|price action|trendline|rsi|indicator""),""Technical Analysis / Chart Patterns"",
REGEXMATCH(LOWER(A229),""beginner|guide|start trading""),""Begi"&amp;"nner Trading Education"",
REGEXMATCH(LOWER(A229),""interview|journey|talks|wisdom""),""Expert Interview / Trading Insights"",
REGEXMATCH(LOWER(A229),""risk|loss|drawdown|psychology""),""Trading Psychology / Risk Management"",
REGEXMATCH(LOWER(A229),""comm"&amp;"odity|crude|gold|natural gas""),""Commodity Trading Education"",
TRUE,""General Trading Education""
)
"),"Beginner Trading Education")</f>
        <v>Beginner Trading Education</v>
      </c>
    </row>
    <row r="230" ht="15.75" customHeight="1">
      <c r="A230" s="1" t="s">
        <v>1154</v>
      </c>
      <c r="B230" s="3" t="s">
        <v>1155</v>
      </c>
      <c r="C230" s="1" t="s">
        <v>1156</v>
      </c>
      <c r="D230" s="1" t="s">
        <v>1157</v>
      </c>
      <c r="E230" s="4">
        <v>45260.0</v>
      </c>
      <c r="F230" s="5">
        <v>0.5326388888888889</v>
      </c>
      <c r="G230" s="1">
        <v>2309.0</v>
      </c>
      <c r="H230" s="1">
        <v>99.0</v>
      </c>
      <c r="I230" s="1">
        <v>8.0</v>
      </c>
      <c r="J230" s="3" t="s">
        <v>1158</v>
      </c>
      <c r="K230" s="6">
        <f t="shared" si="1"/>
        <v>4.63404071</v>
      </c>
      <c r="L230" s="7">
        <f t="shared" si="2"/>
        <v>767</v>
      </c>
      <c r="M230" s="8">
        <f t="shared" si="3"/>
        <v>45257</v>
      </c>
      <c r="N230" s="9" t="str">
        <f>IFERROR(__xludf.DUMMYFUNCTION("IFS(
REGEXMATCH(LOWER(A230),""option|options""),""Options Strategy Education"",
REGEXMATCH(LOWER(A230),""bank nifty|nifty|index""),""Index Options"",
REGEXMATCH(LOWER(A230),""algo|api|systematic""),""Algo Trading / API Tutorial"",
REGEXMATCH(LOWER(A230),"&amp;"""groww|mtf|margin|pledge""),""Platform / Groww Feature Tutorial"",
REGEXMATCH(LOWER(A230),""candlestick|chart|price action|trendline|rsi|indicator""),""Technical Analysis / Chart Patterns"",
REGEXMATCH(LOWER(A230),""beginner|guide|start trading""),""Begi"&amp;"nner Trading Education"",
REGEXMATCH(LOWER(A230),""interview|journey|talks|wisdom""),""Expert Interview / Trading Insights"",
REGEXMATCH(LOWER(A230),""risk|loss|drawdown|psychology""),""Trading Psychology / Risk Management"",
REGEXMATCH(LOWER(A230),""comm"&amp;"odity|crude|gold|natural gas""),""Commodity Trading Education"",
TRUE,""General Trading Education""
)
"),"Beginner Trading Education")</f>
        <v>Beginner Trading Education</v>
      </c>
    </row>
    <row r="231" ht="15.75" customHeight="1">
      <c r="A231" s="1" t="s">
        <v>1159</v>
      </c>
      <c r="B231" s="3" t="s">
        <v>1160</v>
      </c>
      <c r="C231" s="1" t="s">
        <v>1161</v>
      </c>
      <c r="D231" s="1" t="s">
        <v>1162</v>
      </c>
      <c r="E231" s="4">
        <v>45258.0</v>
      </c>
      <c r="F231" s="5">
        <v>0.5215277777777778</v>
      </c>
      <c r="G231" s="1">
        <v>18122.0</v>
      </c>
      <c r="H231" s="1">
        <v>589.0</v>
      </c>
      <c r="I231" s="1">
        <v>17.0</v>
      </c>
      <c r="J231" s="3" t="s">
        <v>1163</v>
      </c>
      <c r="K231" s="6">
        <f t="shared" si="1"/>
        <v>3.344001766</v>
      </c>
      <c r="L231" s="7">
        <f t="shared" si="2"/>
        <v>751</v>
      </c>
      <c r="M231" s="8">
        <f t="shared" si="3"/>
        <v>45257</v>
      </c>
      <c r="N231" s="9" t="str">
        <f>IFERROR(__xludf.DUMMYFUNCTION("IFS(
REGEXMATCH(LOWER(A231),""option|options""),""Options Strategy Education"",
REGEXMATCH(LOWER(A231),""bank nifty|nifty|index""),""Index Options"",
REGEXMATCH(LOWER(A231),""algo|api|systematic""),""Algo Trading / API Tutorial"",
REGEXMATCH(LOWER(A231),"&amp;"""groww|mtf|margin|pledge""),""Platform / Groww Feature Tutorial"",
REGEXMATCH(LOWER(A231),""candlestick|chart|price action|trendline|rsi|indicator""),""Technical Analysis / Chart Patterns"",
REGEXMATCH(LOWER(A231),""beginner|guide|start trading""),""Begi"&amp;"nner Trading Education"",
REGEXMATCH(LOWER(A231),""interview|journey|talks|wisdom""),""Expert Interview / Trading Insights"",
REGEXMATCH(LOWER(A231),""risk|loss|drawdown|psychology""),""Trading Psychology / Risk Management"",
REGEXMATCH(LOWER(A231),""comm"&amp;"odity|crude|gold|natural gas""),""Commodity Trading Education"",
TRUE,""General Trading Education""
)
"),"Technical Analysis / Chart Patterns")</f>
        <v>Technical Analysis / Chart Patterns</v>
      </c>
    </row>
    <row r="232" ht="15.75" customHeight="1">
      <c r="A232" s="1" t="s">
        <v>1164</v>
      </c>
      <c r="B232" s="3" t="s">
        <v>1165</v>
      </c>
      <c r="C232" s="1" t="s">
        <v>1166</v>
      </c>
      <c r="D232" s="1" t="s">
        <v>1167</v>
      </c>
      <c r="E232" s="4">
        <v>45256.0</v>
      </c>
      <c r="F232" s="5">
        <v>0.7986111111111112</v>
      </c>
      <c r="G232" s="1">
        <v>97017.0</v>
      </c>
      <c r="H232" s="1">
        <v>3074.0</v>
      </c>
      <c r="I232" s="1">
        <v>66.0</v>
      </c>
      <c r="J232" s="3" t="s">
        <v>1168</v>
      </c>
      <c r="K232" s="6">
        <f t="shared" si="1"/>
        <v>3.236546172</v>
      </c>
      <c r="L232" s="7">
        <f t="shared" si="2"/>
        <v>1150</v>
      </c>
      <c r="M232" s="8">
        <f t="shared" si="3"/>
        <v>45250</v>
      </c>
      <c r="N232" s="9" t="str">
        <f>IFERROR(__xludf.DUMMYFUNCTION("IFS(
REGEXMATCH(LOWER(A232),""option|options""),""Options Strategy Education"",
REGEXMATCH(LOWER(A232),""bank nifty|nifty|index""),""Index Options"",
REGEXMATCH(LOWER(A232),""algo|api|systematic""),""Algo Trading / API Tutorial"",
REGEXMATCH(LOWER(A232),"&amp;"""groww|mtf|margin|pledge""),""Platform / Groww Feature Tutorial"",
REGEXMATCH(LOWER(A232),""candlestick|chart|price action|trendline|rsi|indicator""),""Technical Analysis / Chart Patterns"",
REGEXMATCH(LOWER(A232),""beginner|guide|start trading""),""Begi"&amp;"nner Trading Education"",
REGEXMATCH(LOWER(A232),""interview|journey|talks|wisdom""),""Expert Interview / Trading Insights"",
REGEXMATCH(LOWER(A232),""risk|loss|drawdown|psychology""),""Trading Psychology / Risk Management"",
REGEXMATCH(LOWER(A232),""comm"&amp;"odity|crude|gold|natural gas""),""Commodity Trading Education"",
TRUE,""General Trading Education""
)
"),"Beginner Trading Education")</f>
        <v>Beginner Trading Education</v>
      </c>
    </row>
    <row r="233" ht="15.75" customHeight="1">
      <c r="A233" s="1" t="s">
        <v>1169</v>
      </c>
      <c r="B233" s="3" t="s">
        <v>1170</v>
      </c>
      <c r="C233" s="1" t="s">
        <v>1171</v>
      </c>
      <c r="D233" s="1" t="s">
        <v>1172</v>
      </c>
      <c r="E233" s="4">
        <v>45255.0</v>
      </c>
      <c r="F233" s="10">
        <v>2.279166666666667</v>
      </c>
      <c r="G233" s="1">
        <v>193387.0</v>
      </c>
      <c r="H233" s="1">
        <v>4418.0</v>
      </c>
      <c r="I233" s="1">
        <v>131.0</v>
      </c>
      <c r="J233" s="3" t="s">
        <v>1173</v>
      </c>
      <c r="K233" s="6">
        <f t="shared" si="1"/>
        <v>2.352278075</v>
      </c>
      <c r="L233" s="7">
        <f t="shared" si="2"/>
        <v>3282</v>
      </c>
      <c r="M233" s="8">
        <f t="shared" si="3"/>
        <v>45250</v>
      </c>
      <c r="N233" s="9" t="str">
        <f>IFERROR(__xludf.DUMMYFUNCTION("IFS(
REGEXMATCH(LOWER(A233),""option|options""),""Options Strategy Education"",
REGEXMATCH(LOWER(A233),""bank nifty|nifty|index""),""Index Options"",
REGEXMATCH(LOWER(A233),""algo|api|systematic""),""Algo Trading / API Tutorial"",
REGEXMATCH(LOWER(A233),"&amp;"""groww|mtf|margin|pledge""),""Platform / Groww Feature Tutorial"",
REGEXMATCH(LOWER(A233),""candlestick|chart|price action|trendline|rsi|indicator""),""Technical Analysis / Chart Patterns"",
REGEXMATCH(LOWER(A233),""beginner|guide|start trading""),""Begi"&amp;"nner Trading Education"",
REGEXMATCH(LOWER(A233),""interview|journey|talks|wisdom""),""Expert Interview / Trading Insights"",
REGEXMATCH(LOWER(A233),""risk|loss|drawdown|psychology""),""Trading Psychology / Risk Management"",
REGEXMATCH(LOWER(A233),""comm"&amp;"odity|crude|gold|natural gas""),""Commodity Trading Education"",
TRUE,""General Trading Education""
)
"),"Technical Analysis / Chart Patterns")</f>
        <v>Technical Analysis / Chart Patterns</v>
      </c>
    </row>
    <row r="234" ht="15.75" customHeight="1">
      <c r="A234" s="1" t="s">
        <v>1174</v>
      </c>
      <c r="B234" s="3" t="s">
        <v>1175</v>
      </c>
      <c r="C234" s="1" t="s">
        <v>1176</v>
      </c>
      <c r="D234" s="1" t="s">
        <v>1177</v>
      </c>
      <c r="E234" s="4">
        <v>45253.0</v>
      </c>
      <c r="F234" s="5">
        <v>0.7388888888888889</v>
      </c>
      <c r="G234" s="1">
        <v>11892.0</v>
      </c>
      <c r="H234" s="1">
        <v>301.0</v>
      </c>
      <c r="I234" s="1">
        <v>17.0</v>
      </c>
      <c r="J234" s="3" t="s">
        <v>1178</v>
      </c>
      <c r="K234" s="6">
        <f t="shared" si="1"/>
        <v>2.674066599</v>
      </c>
      <c r="L234" s="7">
        <f t="shared" si="2"/>
        <v>1064</v>
      </c>
      <c r="M234" s="8">
        <f t="shared" si="3"/>
        <v>45250</v>
      </c>
      <c r="N234" s="9" t="str">
        <f>IFERROR(__xludf.DUMMYFUNCTION("IFS(
REGEXMATCH(LOWER(A234),""option|options""),""Options Strategy Education"",
REGEXMATCH(LOWER(A234),""bank nifty|nifty|index""),""Index Options"",
REGEXMATCH(LOWER(A234),""algo|api|systematic""),""Algo Trading / API Tutorial"",
REGEXMATCH(LOWER(A234),"&amp;"""groww|mtf|margin|pledge""),""Platform / Groww Feature Tutorial"",
REGEXMATCH(LOWER(A234),""candlestick|chart|price action|trendline|rsi|indicator""),""Technical Analysis / Chart Patterns"",
REGEXMATCH(LOWER(A234),""beginner|guide|start trading""),""Begi"&amp;"nner Trading Education"",
REGEXMATCH(LOWER(A234),""interview|journey|talks|wisdom""),""Expert Interview / Trading Insights"",
REGEXMATCH(LOWER(A234),""risk|loss|drawdown|psychology""),""Trading Psychology / Risk Management"",
REGEXMATCH(LOWER(A234),""comm"&amp;"odity|crude|gold|natural gas""),""Commodity Trading Education"",
TRUE,""General Trading Education""
)
"),"General Trading Education")</f>
        <v>General Trading Education</v>
      </c>
    </row>
    <row r="235" ht="15.75" customHeight="1">
      <c r="A235" s="1" t="s">
        <v>1179</v>
      </c>
      <c r="B235" s="3" t="s">
        <v>1180</v>
      </c>
      <c r="C235" s="1" t="s">
        <v>1181</v>
      </c>
      <c r="D235" s="1" t="s">
        <v>1182</v>
      </c>
      <c r="E235" s="4">
        <v>45251.0</v>
      </c>
      <c r="F235" s="5">
        <v>0.7458333333333333</v>
      </c>
      <c r="G235" s="1">
        <v>7475.0</v>
      </c>
      <c r="H235" s="1">
        <v>382.0</v>
      </c>
      <c r="I235" s="1">
        <v>20.0</v>
      </c>
      <c r="J235" s="3" t="s">
        <v>1183</v>
      </c>
      <c r="K235" s="6">
        <f t="shared" si="1"/>
        <v>5.377926421</v>
      </c>
      <c r="L235" s="7">
        <f t="shared" si="2"/>
        <v>1074</v>
      </c>
      <c r="M235" s="8">
        <f t="shared" si="3"/>
        <v>45250</v>
      </c>
      <c r="N235" s="9" t="str">
        <f>IFERROR(__xludf.DUMMYFUNCTION("IFS(
REGEXMATCH(LOWER(A235),""option|options""),""Options Strategy Education"",
REGEXMATCH(LOWER(A235),""bank nifty|nifty|index""),""Index Options"",
REGEXMATCH(LOWER(A235),""algo|api|systematic""),""Algo Trading / API Tutorial"",
REGEXMATCH(LOWER(A235),"&amp;"""groww|mtf|margin|pledge""),""Platform / Groww Feature Tutorial"",
REGEXMATCH(LOWER(A235),""candlestick|chart|price action|trendline|rsi|indicator""),""Technical Analysis / Chart Patterns"",
REGEXMATCH(LOWER(A235),""beginner|guide|start trading""),""Begi"&amp;"nner Trading Education"",
REGEXMATCH(LOWER(A235),""interview|journey|talks|wisdom""),""Expert Interview / Trading Insights"",
REGEXMATCH(LOWER(A235),""risk|loss|drawdown|psychology""),""Trading Psychology / Risk Management"",
REGEXMATCH(LOWER(A235),""comm"&amp;"odity|crude|gold|natural gas""),""Commodity Trading Education"",
TRUE,""General Trading Education""
)
"),"Technical Analysis / Chart Patterns")</f>
        <v>Technical Analysis / Chart Patterns</v>
      </c>
    </row>
    <row r="236" ht="15.75" customHeight="1">
      <c r="A236" s="1" t="s">
        <v>1184</v>
      </c>
      <c r="B236" s="3" t="s">
        <v>1185</v>
      </c>
      <c r="C236" s="1" t="s">
        <v>1186</v>
      </c>
      <c r="D236" s="1" t="s">
        <v>1187</v>
      </c>
      <c r="E236" s="4">
        <v>45249.0</v>
      </c>
      <c r="F236" s="5">
        <v>0.5854166666666667</v>
      </c>
      <c r="G236" s="1">
        <v>21634.0</v>
      </c>
      <c r="H236" s="1">
        <v>1013.0</v>
      </c>
      <c r="I236" s="1">
        <v>23.0</v>
      </c>
      <c r="J236" s="3" t="s">
        <v>1188</v>
      </c>
      <c r="K236" s="6">
        <f t="shared" si="1"/>
        <v>4.788758436</v>
      </c>
      <c r="L236" s="7">
        <f t="shared" si="2"/>
        <v>843</v>
      </c>
      <c r="M236" s="8">
        <f t="shared" si="3"/>
        <v>45243</v>
      </c>
      <c r="N236" s="9" t="str">
        <f>IFERROR(__xludf.DUMMYFUNCTION("IFS(
REGEXMATCH(LOWER(A236),""option|options""),""Options Strategy Education"",
REGEXMATCH(LOWER(A236),""bank nifty|nifty|index""),""Index Options"",
REGEXMATCH(LOWER(A236),""algo|api|systematic""),""Algo Trading / API Tutorial"",
REGEXMATCH(LOWER(A236),"&amp;"""groww|mtf|margin|pledge""),""Platform / Groww Feature Tutorial"",
REGEXMATCH(LOWER(A236),""candlestick|chart|price action|trendline|rsi|indicator""),""Technical Analysis / Chart Patterns"",
REGEXMATCH(LOWER(A236),""beginner|guide|start trading""),""Begi"&amp;"nner Trading Education"",
REGEXMATCH(LOWER(A236),""interview|journey|talks|wisdom""),""Expert Interview / Trading Insights"",
REGEXMATCH(LOWER(A236),""risk|loss|drawdown|psychology""),""Trading Psychology / Risk Management"",
REGEXMATCH(LOWER(A236),""comm"&amp;"odity|crude|gold|natural gas""),""Commodity Trading Education"",
TRUE,""General Trading Education""
)
"),"General Trading Education")</f>
        <v>General Trading Education</v>
      </c>
    </row>
    <row r="237" ht="15.75" customHeight="1">
      <c r="A237" s="1" t="s">
        <v>1189</v>
      </c>
      <c r="B237" s="3" t="s">
        <v>1190</v>
      </c>
      <c r="C237" s="1" t="s">
        <v>1191</v>
      </c>
      <c r="D237" s="1" t="s">
        <v>1192</v>
      </c>
      <c r="E237" s="4">
        <v>45248.0</v>
      </c>
      <c r="F237" s="10">
        <v>2.051388888888889</v>
      </c>
      <c r="G237" s="1">
        <v>331333.0</v>
      </c>
      <c r="H237" s="1">
        <v>8632.0</v>
      </c>
      <c r="I237" s="1">
        <v>215.0</v>
      </c>
      <c r="J237" s="3" t="s">
        <v>1193</v>
      </c>
      <c r="K237" s="6">
        <f t="shared" si="1"/>
        <v>2.670123411</v>
      </c>
      <c r="L237" s="7">
        <f t="shared" si="2"/>
        <v>2954</v>
      </c>
      <c r="M237" s="8">
        <f t="shared" si="3"/>
        <v>45243</v>
      </c>
      <c r="N237" s="9" t="str">
        <f>IFERROR(__xludf.DUMMYFUNCTION("IFS(
REGEXMATCH(LOWER(A237),""option|options""),""Options Strategy Education"",
REGEXMATCH(LOWER(A237),""bank nifty|nifty|index""),""Index Options"",
REGEXMATCH(LOWER(A237),""algo|api|systematic""),""Algo Trading / API Tutorial"",
REGEXMATCH(LOWER(A237),"&amp;"""groww|mtf|margin|pledge""),""Platform / Groww Feature Tutorial"",
REGEXMATCH(LOWER(A237),""candlestick|chart|price action|trendline|rsi|indicator""),""Technical Analysis / Chart Patterns"",
REGEXMATCH(LOWER(A237),""beginner|guide|start trading""),""Begi"&amp;"nner Trading Education"",
REGEXMATCH(LOWER(A237),""interview|journey|talks|wisdom""),""Expert Interview / Trading Insights"",
REGEXMATCH(LOWER(A237),""risk|loss|drawdown|psychology""),""Trading Psychology / Risk Management"",
REGEXMATCH(LOWER(A237),""comm"&amp;"odity|crude|gold|natural gas""),""Commodity Trading Education"",
TRUE,""General Trading Education""
)
"),"Beginner Trading Education")</f>
        <v>Beginner Trading Education</v>
      </c>
    </row>
    <row r="238" ht="15.75" customHeight="1">
      <c r="A238" s="1" t="s">
        <v>1194</v>
      </c>
      <c r="B238" s="3" t="s">
        <v>1195</v>
      </c>
      <c r="C238" s="1" t="s">
        <v>1196</v>
      </c>
      <c r="D238" s="1" t="s">
        <v>1197</v>
      </c>
      <c r="E238" s="4">
        <v>45246.0</v>
      </c>
      <c r="F238" s="5">
        <v>0.525</v>
      </c>
      <c r="G238" s="1">
        <v>4010.0</v>
      </c>
      <c r="H238" s="1">
        <v>179.0</v>
      </c>
      <c r="I238" s="1">
        <v>8.0</v>
      </c>
      <c r="J238" s="3" t="s">
        <v>1198</v>
      </c>
      <c r="K238" s="6">
        <f t="shared" si="1"/>
        <v>4.663341646</v>
      </c>
      <c r="L238" s="7">
        <f t="shared" si="2"/>
        <v>756</v>
      </c>
      <c r="M238" s="8">
        <f t="shared" si="3"/>
        <v>45243</v>
      </c>
      <c r="N238" s="9" t="str">
        <f>IFERROR(__xludf.DUMMYFUNCTION("IFS(
REGEXMATCH(LOWER(A238),""option|options""),""Options Strategy Education"",
REGEXMATCH(LOWER(A238),""bank nifty|nifty|index""),""Index Options"",
REGEXMATCH(LOWER(A238),""algo|api|systematic""),""Algo Trading / API Tutorial"",
REGEXMATCH(LOWER(A238),"&amp;"""groww|mtf|margin|pledge""),""Platform / Groww Feature Tutorial"",
REGEXMATCH(LOWER(A238),""candlestick|chart|price action|trendline|rsi|indicator""),""Technical Analysis / Chart Patterns"",
REGEXMATCH(LOWER(A238),""beginner|guide|start trading""),""Begi"&amp;"nner Trading Education"",
REGEXMATCH(LOWER(A238),""interview|journey|talks|wisdom""),""Expert Interview / Trading Insights"",
REGEXMATCH(LOWER(A238),""risk|loss|drawdown|psychology""),""Trading Psychology / Risk Management"",
REGEXMATCH(LOWER(A238),""comm"&amp;"odity|crude|gold|natural gas""),""Commodity Trading Education"",
TRUE,""General Trading Education""
)
"),"Trading Psychology / Risk Management")</f>
        <v>Trading Psychology / Risk Management</v>
      </c>
    </row>
    <row r="239" ht="15.75" customHeight="1">
      <c r="A239" s="1" t="s">
        <v>1199</v>
      </c>
      <c r="B239" s="3" t="s">
        <v>1200</v>
      </c>
      <c r="C239" s="1" t="s">
        <v>1201</v>
      </c>
      <c r="D239" s="1" t="s">
        <v>1202</v>
      </c>
      <c r="E239" s="4">
        <v>45244.0</v>
      </c>
      <c r="F239" s="5">
        <v>0.5388888888888889</v>
      </c>
      <c r="G239" s="1">
        <v>10165.0</v>
      </c>
      <c r="H239" s="1">
        <v>455.0</v>
      </c>
      <c r="I239" s="1">
        <v>20.0</v>
      </c>
      <c r="J239" s="3" t="s">
        <v>1203</v>
      </c>
      <c r="K239" s="6">
        <f t="shared" si="1"/>
        <v>4.672897196</v>
      </c>
      <c r="L239" s="7">
        <f t="shared" si="2"/>
        <v>776</v>
      </c>
      <c r="M239" s="8">
        <f t="shared" si="3"/>
        <v>45243</v>
      </c>
      <c r="N239" s="9" t="str">
        <f>IFERROR(__xludf.DUMMYFUNCTION("IFS(
REGEXMATCH(LOWER(A239),""option|options""),""Options Strategy Education"",
REGEXMATCH(LOWER(A239),""bank nifty|nifty|index""),""Index Options"",
REGEXMATCH(LOWER(A239),""algo|api|systematic""),""Algo Trading / API Tutorial"",
REGEXMATCH(LOWER(A239),"&amp;"""groww|mtf|margin|pledge""),""Platform / Groww Feature Tutorial"",
REGEXMATCH(LOWER(A239),""candlestick|chart|price action|trendline|rsi|indicator""),""Technical Analysis / Chart Patterns"",
REGEXMATCH(LOWER(A239),""beginner|guide|start trading""),""Begi"&amp;"nner Trading Education"",
REGEXMATCH(LOWER(A239),""interview|journey|talks|wisdom""),""Expert Interview / Trading Insights"",
REGEXMATCH(LOWER(A239),""risk|loss|drawdown|psychology""),""Trading Psychology / Risk Management"",
REGEXMATCH(LOWER(A239),""comm"&amp;"odity|crude|gold|natural gas""),""Commodity Trading Education"",
TRUE,""General Trading Education""
)
"),"Technical Analysis / Chart Patterns")</f>
        <v>Technical Analysis / Chart Patterns</v>
      </c>
    </row>
    <row r="240" ht="15.75" customHeight="1">
      <c r="A240" s="1" t="s">
        <v>1204</v>
      </c>
      <c r="B240" s="3" t="s">
        <v>1205</v>
      </c>
      <c r="C240" s="1" t="s">
        <v>1206</v>
      </c>
      <c r="D240" s="1" t="s">
        <v>1207</v>
      </c>
      <c r="E240" s="4">
        <v>45242.0</v>
      </c>
      <c r="F240" s="5">
        <v>0.49166666666666664</v>
      </c>
      <c r="G240" s="1">
        <v>15893.0</v>
      </c>
      <c r="H240" s="1">
        <v>787.0</v>
      </c>
      <c r="I240" s="1">
        <v>19.0</v>
      </c>
      <c r="J240" s="3" t="s">
        <v>1208</v>
      </c>
      <c r="K240" s="6">
        <f t="shared" si="1"/>
        <v>5.071415088</v>
      </c>
      <c r="L240" s="7">
        <f t="shared" si="2"/>
        <v>708</v>
      </c>
      <c r="M240" s="8">
        <f t="shared" si="3"/>
        <v>45236</v>
      </c>
      <c r="N240" s="9" t="str">
        <f>IFERROR(__xludf.DUMMYFUNCTION("IFS(
REGEXMATCH(LOWER(A240),""option|options""),""Options Strategy Education"",
REGEXMATCH(LOWER(A240),""bank nifty|nifty|index""),""Index Options"",
REGEXMATCH(LOWER(A240),""algo|api|systematic""),""Algo Trading / API Tutorial"",
REGEXMATCH(LOWER(A240),"&amp;"""groww|mtf|margin|pledge""),""Platform / Groww Feature Tutorial"",
REGEXMATCH(LOWER(A240),""candlestick|chart|price action|trendline|rsi|indicator""),""Technical Analysis / Chart Patterns"",
REGEXMATCH(LOWER(A240),""beginner|guide|start trading""),""Begi"&amp;"nner Trading Education"",
REGEXMATCH(LOWER(A240),""interview|journey|talks|wisdom""),""Expert Interview / Trading Insights"",
REGEXMATCH(LOWER(A240),""risk|loss|drawdown|psychology""),""Trading Psychology / Risk Management"",
REGEXMATCH(LOWER(A240),""comm"&amp;"odity|crude|gold|natural gas""),""Commodity Trading Education"",
TRUE,""General Trading Education""
)
"),"Beginner Trading Education")</f>
        <v>Beginner Trading Education</v>
      </c>
    </row>
    <row r="241" ht="15.75" customHeight="1">
      <c r="A241" s="1" t="s">
        <v>1209</v>
      </c>
      <c r="B241" s="3" t="s">
        <v>1210</v>
      </c>
      <c r="C241" s="1" t="s">
        <v>1211</v>
      </c>
      <c r="D241" s="1" t="s">
        <v>1212</v>
      </c>
      <c r="E241" s="4">
        <v>45241.0</v>
      </c>
      <c r="F241" s="10">
        <v>2.045138888888889</v>
      </c>
      <c r="G241" s="1">
        <v>1047015.0</v>
      </c>
      <c r="H241" s="1">
        <v>28976.0</v>
      </c>
      <c r="I241" s="1">
        <v>457.0</v>
      </c>
      <c r="J241" s="3" t="s">
        <v>1213</v>
      </c>
      <c r="K241" s="6">
        <f t="shared" si="1"/>
        <v>2.811134511</v>
      </c>
      <c r="L241" s="7">
        <f t="shared" si="2"/>
        <v>2945</v>
      </c>
      <c r="M241" s="8">
        <f t="shared" si="3"/>
        <v>45236</v>
      </c>
      <c r="N241" s="9" t="str">
        <f>IFERROR(__xludf.DUMMYFUNCTION("IFS(
REGEXMATCH(LOWER(A241),""option|options""),""Options Strategy Education"",
REGEXMATCH(LOWER(A241),""bank nifty|nifty|index""),""Index Options"",
REGEXMATCH(LOWER(A241),""algo|api|systematic""),""Algo Trading / API Tutorial"",
REGEXMATCH(LOWER(A241),"&amp;"""groww|mtf|margin|pledge""),""Platform / Groww Feature Tutorial"",
REGEXMATCH(LOWER(A241),""candlestick|chart|price action|trendline|rsi|indicator""),""Technical Analysis / Chart Patterns"",
REGEXMATCH(LOWER(A241),""beginner|guide|start trading""),""Begi"&amp;"nner Trading Education"",
REGEXMATCH(LOWER(A241),""interview|journey|talks|wisdom""),""Expert Interview / Trading Insights"",
REGEXMATCH(LOWER(A241),""risk|loss|drawdown|psychology""),""Trading Psychology / Risk Management"",
REGEXMATCH(LOWER(A241),""comm"&amp;"odity|crude|gold|natural gas""),""Commodity Trading Education"",
TRUE,""General Trading Education""
)
"),"Beginner Trading Education")</f>
        <v>Beginner Trading Education</v>
      </c>
    </row>
    <row r="242" ht="15.75" customHeight="1">
      <c r="A242" s="1" t="s">
        <v>1214</v>
      </c>
      <c r="B242" s="3" t="s">
        <v>1215</v>
      </c>
      <c r="C242" s="1" t="s">
        <v>1216</v>
      </c>
      <c r="D242" s="1" t="s">
        <v>1217</v>
      </c>
      <c r="E242" s="4">
        <v>45239.0</v>
      </c>
      <c r="F242" s="5">
        <v>0.6854166666666667</v>
      </c>
      <c r="G242" s="1">
        <v>9096.0</v>
      </c>
      <c r="H242" s="1">
        <v>161.0</v>
      </c>
      <c r="I242" s="1">
        <v>7.0</v>
      </c>
      <c r="J242" s="3" t="s">
        <v>1218</v>
      </c>
      <c r="K242" s="6">
        <f t="shared" si="1"/>
        <v>1.846965699</v>
      </c>
      <c r="L242" s="7">
        <f t="shared" si="2"/>
        <v>987</v>
      </c>
      <c r="M242" s="8">
        <f t="shared" si="3"/>
        <v>45236</v>
      </c>
      <c r="N242" s="9" t="str">
        <f>IFERROR(__xludf.DUMMYFUNCTION("IFS(
REGEXMATCH(LOWER(A242),""option|options""),""Options Strategy Education"",
REGEXMATCH(LOWER(A242),""bank nifty|nifty|index""),""Index Options"",
REGEXMATCH(LOWER(A242),""algo|api|systematic""),""Algo Trading / API Tutorial"",
REGEXMATCH(LOWER(A242),"&amp;"""groww|mtf|margin|pledge""),""Platform / Groww Feature Tutorial"",
REGEXMATCH(LOWER(A242),""candlestick|chart|price action|trendline|rsi|indicator""),""Technical Analysis / Chart Patterns"",
REGEXMATCH(LOWER(A242),""beginner|guide|start trading""),""Begi"&amp;"nner Trading Education"",
REGEXMATCH(LOWER(A242),""interview|journey|talks|wisdom""),""Expert Interview / Trading Insights"",
REGEXMATCH(LOWER(A242),""risk|loss|drawdown|psychology""),""Trading Psychology / Risk Management"",
REGEXMATCH(LOWER(A242),""comm"&amp;"odity|crude|gold|natural gas""),""Commodity Trading Education"",
TRUE,""General Trading Education""
)
"),"General Trading Education")</f>
        <v>General Trading Education</v>
      </c>
    </row>
    <row r="243" ht="15.75" customHeight="1">
      <c r="A243" s="1" t="s">
        <v>1219</v>
      </c>
      <c r="B243" s="3" t="s">
        <v>1220</v>
      </c>
      <c r="C243" s="1" t="s">
        <v>1221</v>
      </c>
      <c r="D243" s="1" t="s">
        <v>1222</v>
      </c>
      <c r="E243" s="4">
        <v>45237.0</v>
      </c>
      <c r="F243" s="5">
        <v>0.7923611111111111</v>
      </c>
      <c r="G243" s="1">
        <v>7737.0</v>
      </c>
      <c r="H243" s="1">
        <v>516.0</v>
      </c>
      <c r="I243" s="1">
        <v>25.0</v>
      </c>
      <c r="J243" s="3" t="s">
        <v>1223</v>
      </c>
      <c r="K243" s="6">
        <f t="shared" si="1"/>
        <v>6.992374305</v>
      </c>
      <c r="L243" s="7">
        <f t="shared" si="2"/>
        <v>1141</v>
      </c>
      <c r="M243" s="8">
        <f t="shared" si="3"/>
        <v>45236</v>
      </c>
      <c r="N243" s="9" t="str">
        <f>IFERROR(__xludf.DUMMYFUNCTION("IFS(
REGEXMATCH(LOWER(A243),""option|options""),""Options Strategy Education"",
REGEXMATCH(LOWER(A243),""bank nifty|nifty|index""),""Index Options"",
REGEXMATCH(LOWER(A243),""algo|api|systematic""),""Algo Trading / API Tutorial"",
REGEXMATCH(LOWER(A243),"&amp;"""groww|mtf|margin|pledge""),""Platform / Groww Feature Tutorial"",
REGEXMATCH(LOWER(A243),""candlestick|chart|price action|trendline|rsi|indicator""),""Technical Analysis / Chart Patterns"",
REGEXMATCH(LOWER(A243),""beginner|guide|start trading""),""Begi"&amp;"nner Trading Education"",
REGEXMATCH(LOWER(A243),""interview|journey|talks|wisdom""),""Expert Interview / Trading Insights"",
REGEXMATCH(LOWER(A243),""risk|loss|drawdown|psychology""),""Trading Psychology / Risk Management"",
REGEXMATCH(LOWER(A243),""comm"&amp;"odity|crude|gold|natural gas""),""Commodity Trading Education"",
TRUE,""General Trading Education""
)
"),"General Trading Education")</f>
        <v>General Trading Education</v>
      </c>
    </row>
    <row r="244" ht="15.75" customHeight="1">
      <c r="A244" s="1" t="s">
        <v>1224</v>
      </c>
      <c r="B244" s="3" t="s">
        <v>1225</v>
      </c>
      <c r="C244" s="1" t="s">
        <v>1226</v>
      </c>
      <c r="D244" s="1" t="s">
        <v>1227</v>
      </c>
      <c r="E244" s="4">
        <v>45235.0</v>
      </c>
      <c r="F244" s="5">
        <v>0.44930555555555557</v>
      </c>
      <c r="G244" s="1">
        <v>169742.0</v>
      </c>
      <c r="H244" s="1">
        <v>7064.0</v>
      </c>
      <c r="I244" s="1">
        <v>96.0</v>
      </c>
      <c r="J244" s="3" t="s">
        <v>1228</v>
      </c>
      <c r="K244" s="6">
        <f t="shared" si="1"/>
        <v>4.218166394</v>
      </c>
      <c r="L244" s="7">
        <f t="shared" si="2"/>
        <v>647</v>
      </c>
      <c r="M244" s="8">
        <f t="shared" si="3"/>
        <v>45229</v>
      </c>
      <c r="N244" s="9" t="str">
        <f>IFERROR(__xludf.DUMMYFUNCTION("IFS(
REGEXMATCH(LOWER(A244),""option|options""),""Options Strategy Education"",
REGEXMATCH(LOWER(A244),""bank nifty|nifty|index""),""Index Options"",
REGEXMATCH(LOWER(A244),""algo|api|systematic""),""Algo Trading / API Tutorial"",
REGEXMATCH(LOWER(A244),"&amp;"""groww|mtf|margin|pledge""),""Platform / Groww Feature Tutorial"",
REGEXMATCH(LOWER(A244),""candlestick|chart|price action|trendline|rsi|indicator""),""Technical Analysis / Chart Patterns"",
REGEXMATCH(LOWER(A244),""beginner|guide|start trading""),""Begi"&amp;"nner Trading Education"",
REGEXMATCH(LOWER(A244),""interview|journey|talks|wisdom""),""Expert Interview / Trading Insights"",
REGEXMATCH(LOWER(A244),""risk|loss|drawdown|psychology""),""Trading Psychology / Risk Management"",
REGEXMATCH(LOWER(A244),""comm"&amp;"odity|crude|gold|natural gas""),""Commodity Trading Education"",
TRUE,""General Trading Education""
)
"),"Beginner Trading Education")</f>
        <v>Beginner Trading Education</v>
      </c>
    </row>
    <row r="245" ht="15.75" customHeight="1">
      <c r="A245" s="1" t="s">
        <v>1229</v>
      </c>
      <c r="B245" s="3" t="s">
        <v>1230</v>
      </c>
      <c r="C245" s="1" t="s">
        <v>1231</v>
      </c>
      <c r="D245" s="1" t="s">
        <v>1232</v>
      </c>
      <c r="E245" s="4">
        <v>45234.0</v>
      </c>
      <c r="F245" s="5">
        <v>0.4465277777777778</v>
      </c>
      <c r="G245" s="1">
        <v>26945.0</v>
      </c>
      <c r="H245" s="1">
        <v>814.0</v>
      </c>
      <c r="I245" s="1">
        <v>14.0</v>
      </c>
      <c r="J245" s="3" t="s">
        <v>1233</v>
      </c>
      <c r="K245" s="6">
        <f t="shared" si="1"/>
        <v>3.072926331</v>
      </c>
      <c r="L245" s="7">
        <f t="shared" si="2"/>
        <v>643</v>
      </c>
      <c r="M245" s="8">
        <f t="shared" si="3"/>
        <v>45229</v>
      </c>
      <c r="N245" s="9" t="str">
        <f>IFERROR(__xludf.DUMMYFUNCTION("IFS(
REGEXMATCH(LOWER(A245),""option|options""),""Options Strategy Education"",
REGEXMATCH(LOWER(A245),""bank nifty|nifty|index""),""Index Options"",
REGEXMATCH(LOWER(A245),""algo|api|systematic""),""Algo Trading / API Tutorial"",
REGEXMATCH(LOWER(A245),"&amp;"""groww|mtf|margin|pledge""),""Platform / Groww Feature Tutorial"",
REGEXMATCH(LOWER(A245),""candlestick|chart|price action|trendline|rsi|indicator""),""Technical Analysis / Chart Patterns"",
REGEXMATCH(LOWER(A245),""beginner|guide|start trading""),""Begi"&amp;"nner Trading Education"",
REGEXMATCH(LOWER(A245),""interview|journey|talks|wisdom""),""Expert Interview / Trading Insights"",
REGEXMATCH(LOWER(A245),""risk|loss|drawdown|psychology""),""Trading Psychology / Risk Management"",
REGEXMATCH(LOWER(A245),""comm"&amp;"odity|crude|gold|natural gas""),""Commodity Trading Education"",
TRUE,""General Trading Education""
)
"),"Beginner Trading Education")</f>
        <v>Beginner Trading Education</v>
      </c>
    </row>
    <row r="246" ht="15.75" customHeight="1">
      <c r="A246" s="1" t="s">
        <v>1234</v>
      </c>
      <c r="B246" s="3" t="s">
        <v>1235</v>
      </c>
      <c r="C246" s="1" t="s">
        <v>1236</v>
      </c>
      <c r="D246" s="1" t="s">
        <v>1237</v>
      </c>
      <c r="E246" s="4">
        <v>45232.0</v>
      </c>
      <c r="F246" s="5">
        <v>0.4986111111111111</v>
      </c>
      <c r="G246" s="1">
        <v>3544.0</v>
      </c>
      <c r="H246" s="1">
        <v>170.0</v>
      </c>
      <c r="I246" s="1">
        <v>8.0</v>
      </c>
      <c r="J246" s="3" t="s">
        <v>1238</v>
      </c>
      <c r="K246" s="6">
        <f t="shared" si="1"/>
        <v>5.022573363</v>
      </c>
      <c r="L246" s="7">
        <f t="shared" si="2"/>
        <v>718</v>
      </c>
      <c r="M246" s="8">
        <f t="shared" si="3"/>
        <v>45229</v>
      </c>
      <c r="N246" s="9" t="str">
        <f>IFERROR(__xludf.DUMMYFUNCTION("IFS(
REGEXMATCH(LOWER(A246),""option|options""),""Options Strategy Education"",
REGEXMATCH(LOWER(A246),""bank nifty|nifty|index""),""Index Options"",
REGEXMATCH(LOWER(A246),""algo|api|systematic""),""Algo Trading / API Tutorial"",
REGEXMATCH(LOWER(A246),"&amp;"""groww|mtf|margin|pledge""),""Platform / Groww Feature Tutorial"",
REGEXMATCH(LOWER(A246),""candlestick|chart|price action|trendline|rsi|indicator""),""Technical Analysis / Chart Patterns"",
REGEXMATCH(LOWER(A246),""beginner|guide|start trading""),""Begi"&amp;"nner Trading Education"",
REGEXMATCH(LOWER(A246),""interview|journey|talks|wisdom""),""Expert Interview / Trading Insights"",
REGEXMATCH(LOWER(A246),""risk|loss|drawdown|psychology""),""Trading Psychology / Risk Management"",
REGEXMATCH(LOWER(A246),""comm"&amp;"odity|crude|gold|natural gas""),""Commodity Trading Education"",
TRUE,""General Trading Education""
)
"),"Technical Analysis / Chart Patterns")</f>
        <v>Technical Analysis / Chart Patterns</v>
      </c>
    </row>
    <row r="247" ht="15.75" customHeight="1">
      <c r="A247" s="1" t="s">
        <v>1239</v>
      </c>
      <c r="B247" s="3" t="s">
        <v>1240</v>
      </c>
      <c r="C247" s="1" t="s">
        <v>1241</v>
      </c>
      <c r="D247" s="1" t="s">
        <v>1242</v>
      </c>
      <c r="E247" s="4">
        <v>45230.0</v>
      </c>
      <c r="F247" s="5">
        <v>0.6069444444444444</v>
      </c>
      <c r="G247" s="1">
        <v>8237.0</v>
      </c>
      <c r="H247" s="1">
        <v>465.0</v>
      </c>
      <c r="I247" s="1">
        <v>24.0</v>
      </c>
      <c r="J247" s="3" t="s">
        <v>1243</v>
      </c>
      <c r="K247" s="6">
        <f t="shared" si="1"/>
        <v>5.936627413</v>
      </c>
      <c r="L247" s="7">
        <f t="shared" si="2"/>
        <v>874</v>
      </c>
      <c r="M247" s="8">
        <f t="shared" si="3"/>
        <v>45229</v>
      </c>
      <c r="N247" s="9" t="str">
        <f>IFERROR(__xludf.DUMMYFUNCTION("IFS(
REGEXMATCH(LOWER(A247),""option|options""),""Options Strategy Education"",
REGEXMATCH(LOWER(A247),""bank nifty|nifty|index""),""Index Options"",
REGEXMATCH(LOWER(A247),""algo|api|systematic""),""Algo Trading / API Tutorial"",
REGEXMATCH(LOWER(A247),"&amp;"""groww|mtf|margin|pledge""),""Platform / Groww Feature Tutorial"",
REGEXMATCH(LOWER(A247),""candlestick|chart|price action|trendline|rsi|indicator""),""Technical Analysis / Chart Patterns"",
REGEXMATCH(LOWER(A247),""beginner|guide|start trading""),""Begi"&amp;"nner Trading Education"",
REGEXMATCH(LOWER(A247),""interview|journey|talks|wisdom""),""Expert Interview / Trading Insights"",
REGEXMATCH(LOWER(A247),""risk|loss|drawdown|psychology""),""Trading Psychology / Risk Management"",
REGEXMATCH(LOWER(A247),""comm"&amp;"odity|crude|gold|natural gas""),""Commodity Trading Education"",
TRUE,""General Trading Education""
)
"),"Trading Psychology / Risk Management")</f>
        <v>Trading Psychology / Risk Management</v>
      </c>
    </row>
    <row r="248" ht="15.75" customHeight="1">
      <c r="A248" s="1" t="s">
        <v>1244</v>
      </c>
      <c r="B248" s="3" t="s">
        <v>1245</v>
      </c>
      <c r="C248" s="1" t="s">
        <v>1246</v>
      </c>
      <c r="D248" s="1" t="s">
        <v>1247</v>
      </c>
      <c r="E248" s="4">
        <v>45228.0</v>
      </c>
      <c r="F248" s="5">
        <v>0.5680555555555555</v>
      </c>
      <c r="G248" s="1">
        <v>77389.0</v>
      </c>
      <c r="H248" s="1">
        <v>1918.0</v>
      </c>
      <c r="I248" s="1">
        <v>42.0</v>
      </c>
      <c r="J248" s="3" t="s">
        <v>1248</v>
      </c>
      <c r="K248" s="6">
        <f t="shared" si="1"/>
        <v>2.53265968</v>
      </c>
      <c r="L248" s="7">
        <f t="shared" si="2"/>
        <v>818</v>
      </c>
      <c r="M248" s="8">
        <f t="shared" si="3"/>
        <v>45222</v>
      </c>
      <c r="N248" s="9" t="str">
        <f>IFERROR(__xludf.DUMMYFUNCTION("IFS(
REGEXMATCH(LOWER(A248),""option|options""),""Options Strategy Education"",
REGEXMATCH(LOWER(A248),""bank nifty|nifty|index""),""Index Options"",
REGEXMATCH(LOWER(A248),""algo|api|systematic""),""Algo Trading / API Tutorial"",
REGEXMATCH(LOWER(A248),"&amp;"""groww|mtf|margin|pledge""),""Platform / Groww Feature Tutorial"",
REGEXMATCH(LOWER(A248),""candlestick|chart|price action|trendline|rsi|indicator""),""Technical Analysis / Chart Patterns"",
REGEXMATCH(LOWER(A248),""beginner|guide|start trading""),""Begi"&amp;"nner Trading Education"",
REGEXMATCH(LOWER(A248),""interview|journey|talks|wisdom""),""Expert Interview / Trading Insights"",
REGEXMATCH(LOWER(A248),""risk|loss|drawdown|psychology""),""Trading Psychology / Risk Management"",
REGEXMATCH(LOWER(A248),""comm"&amp;"odity|crude|gold|natural gas""),""Commodity Trading Education"",
TRUE,""General Trading Education""
)
"),"Beginner Trading Education")</f>
        <v>Beginner Trading Education</v>
      </c>
    </row>
    <row r="249" ht="15.75" customHeight="1">
      <c r="A249" s="1" t="s">
        <v>1249</v>
      </c>
      <c r="B249" s="3" t="s">
        <v>1250</v>
      </c>
      <c r="C249" s="1" t="s">
        <v>1251</v>
      </c>
      <c r="D249" s="1" t="s">
        <v>1252</v>
      </c>
      <c r="E249" s="4">
        <v>45227.0</v>
      </c>
      <c r="F249" s="5">
        <v>0.5791666666666667</v>
      </c>
      <c r="G249" s="1">
        <v>10316.0</v>
      </c>
      <c r="H249" s="1">
        <v>212.0</v>
      </c>
      <c r="I249" s="1">
        <v>10.0</v>
      </c>
      <c r="J249" s="3" t="s">
        <v>1253</v>
      </c>
      <c r="K249" s="6">
        <f t="shared" si="1"/>
        <v>2.151996898</v>
      </c>
      <c r="L249" s="7">
        <f t="shared" si="2"/>
        <v>834</v>
      </c>
      <c r="M249" s="8">
        <f t="shared" si="3"/>
        <v>45222</v>
      </c>
      <c r="N249" s="9" t="str">
        <f>IFERROR(__xludf.DUMMYFUNCTION("IFS(
REGEXMATCH(LOWER(A249),""option|options""),""Options Strategy Education"",
REGEXMATCH(LOWER(A249),""bank nifty|nifty|index""),""Index Options"",
REGEXMATCH(LOWER(A249),""algo|api|systematic""),""Algo Trading / API Tutorial"",
REGEXMATCH(LOWER(A249),"&amp;"""groww|mtf|margin|pledge""),""Platform / Groww Feature Tutorial"",
REGEXMATCH(LOWER(A249),""candlestick|chart|price action|trendline|rsi|indicator""),""Technical Analysis / Chart Patterns"",
REGEXMATCH(LOWER(A249),""beginner|guide|start trading""),""Begi"&amp;"nner Trading Education"",
REGEXMATCH(LOWER(A249),""interview|journey|talks|wisdom""),""Expert Interview / Trading Insights"",
REGEXMATCH(LOWER(A249),""risk|loss|drawdown|psychology""),""Trading Psychology / Risk Management"",
REGEXMATCH(LOWER(A249),""comm"&amp;"odity|crude|gold|natural gas""),""Commodity Trading Education"",
TRUE,""General Trading Education""
)
"),"Technical Analysis / Chart Patterns")</f>
        <v>Technical Analysis / Chart Patterns</v>
      </c>
    </row>
    <row r="250" ht="15.75" customHeight="1">
      <c r="A250" s="1" t="s">
        <v>1254</v>
      </c>
      <c r="B250" s="3" t="s">
        <v>1255</v>
      </c>
      <c r="C250" s="1" t="s">
        <v>1256</v>
      </c>
      <c r="D250" s="1" t="s">
        <v>1257</v>
      </c>
      <c r="E250" s="4">
        <v>45223.0</v>
      </c>
      <c r="F250" s="5">
        <v>0.5166666666666667</v>
      </c>
      <c r="G250" s="1">
        <v>15095.0</v>
      </c>
      <c r="H250" s="1">
        <v>623.0</v>
      </c>
      <c r="I250" s="1">
        <v>18.0</v>
      </c>
      <c r="J250" s="3" t="s">
        <v>1258</v>
      </c>
      <c r="K250" s="6">
        <f t="shared" si="1"/>
        <v>4.246439218</v>
      </c>
      <c r="L250" s="7">
        <f t="shared" si="2"/>
        <v>744</v>
      </c>
      <c r="M250" s="8">
        <f t="shared" si="3"/>
        <v>45222</v>
      </c>
      <c r="N250" s="9" t="str">
        <f>IFERROR(__xludf.DUMMYFUNCTION("IFS(
REGEXMATCH(LOWER(A250),""option|options""),""Options Strategy Education"",
REGEXMATCH(LOWER(A250),""bank nifty|nifty|index""),""Index Options"",
REGEXMATCH(LOWER(A250),""algo|api|systematic""),""Algo Trading / API Tutorial"",
REGEXMATCH(LOWER(A250),"&amp;"""groww|mtf|margin|pledge""),""Platform / Groww Feature Tutorial"",
REGEXMATCH(LOWER(A250),""candlestick|chart|price action|trendline|rsi|indicator""),""Technical Analysis / Chart Patterns"",
REGEXMATCH(LOWER(A250),""beginner|guide|start trading""),""Begi"&amp;"nner Trading Education"",
REGEXMATCH(LOWER(A250),""interview|journey|talks|wisdom""),""Expert Interview / Trading Insights"",
REGEXMATCH(LOWER(A250),""risk|loss|drawdown|psychology""),""Trading Psychology / Risk Management"",
REGEXMATCH(LOWER(A250),""comm"&amp;"odity|crude|gold|natural gas""),""Commodity Trading Education"",
TRUE,""General Trading Education""
)
"),"Technical Analysis / Chart Patterns")</f>
        <v>Technical Analysis / Chart Patterns</v>
      </c>
    </row>
    <row r="251" ht="15.75" customHeight="1">
      <c r="A251" s="1" t="s">
        <v>1259</v>
      </c>
      <c r="B251" s="3" t="s">
        <v>1260</v>
      </c>
      <c r="C251" s="1" t="s">
        <v>1261</v>
      </c>
      <c r="D251" s="1" t="s">
        <v>1262</v>
      </c>
      <c r="E251" s="4">
        <v>45221.0</v>
      </c>
      <c r="F251" s="5">
        <v>0.7048611111111112</v>
      </c>
      <c r="G251" s="1">
        <v>19444.0</v>
      </c>
      <c r="H251" s="1">
        <v>678.0</v>
      </c>
      <c r="I251" s="1">
        <v>26.0</v>
      </c>
      <c r="J251" s="3" t="s">
        <v>1263</v>
      </c>
      <c r="K251" s="6">
        <f t="shared" si="1"/>
        <v>3.620654186</v>
      </c>
      <c r="L251" s="7">
        <f t="shared" si="2"/>
        <v>1015</v>
      </c>
      <c r="M251" s="8">
        <f t="shared" si="3"/>
        <v>45215</v>
      </c>
      <c r="N251" s="9" t="str">
        <f>IFERROR(__xludf.DUMMYFUNCTION("IFS(
REGEXMATCH(LOWER(A251),""option|options""),""Options Strategy Education"",
REGEXMATCH(LOWER(A251),""bank nifty|nifty|index""),""Index Options"",
REGEXMATCH(LOWER(A251),""algo|api|systematic""),""Algo Trading / API Tutorial"",
REGEXMATCH(LOWER(A251),"&amp;"""groww|mtf|margin|pledge""),""Platform / Groww Feature Tutorial"",
REGEXMATCH(LOWER(A251),""candlestick|chart|price action|trendline|rsi|indicator""),""Technical Analysis / Chart Patterns"",
REGEXMATCH(LOWER(A251),""beginner|guide|start trading""),""Begi"&amp;"nner Trading Education"",
REGEXMATCH(LOWER(A251),""interview|journey|talks|wisdom""),""Expert Interview / Trading Insights"",
REGEXMATCH(LOWER(A251),""risk|loss|drawdown|psychology""),""Trading Psychology / Risk Management"",
REGEXMATCH(LOWER(A251),""comm"&amp;"odity|crude|gold|natural gas""),""Commodity Trading Education"",
TRUE,""General Trading Education""
)
"),"General Trading Education")</f>
        <v>General Trading Education</v>
      </c>
    </row>
    <row r="252" ht="15.75" customHeight="1">
      <c r="A252" s="1" t="s">
        <v>1264</v>
      </c>
      <c r="B252" s="3" t="s">
        <v>1265</v>
      </c>
      <c r="C252" s="1" t="s">
        <v>1266</v>
      </c>
      <c r="D252" s="1" t="s">
        <v>1267</v>
      </c>
      <c r="E252" s="4">
        <v>45220.0</v>
      </c>
      <c r="F252" s="5">
        <v>0.6194444444444445</v>
      </c>
      <c r="G252" s="1">
        <v>10604.0</v>
      </c>
      <c r="H252" s="1">
        <v>452.0</v>
      </c>
      <c r="I252" s="1">
        <v>16.0</v>
      </c>
      <c r="J252" s="3" t="s">
        <v>1268</v>
      </c>
      <c r="K252" s="6">
        <f t="shared" si="1"/>
        <v>4.413428895</v>
      </c>
      <c r="L252" s="7">
        <f t="shared" si="2"/>
        <v>892</v>
      </c>
      <c r="M252" s="8">
        <f t="shared" si="3"/>
        <v>45215</v>
      </c>
      <c r="N252" s="9" t="str">
        <f>IFERROR(__xludf.DUMMYFUNCTION("IFS(
REGEXMATCH(LOWER(A252),""option|options""),""Options Strategy Education"",
REGEXMATCH(LOWER(A252),""bank nifty|nifty|index""),""Index Options"",
REGEXMATCH(LOWER(A252),""algo|api|systematic""),""Algo Trading / API Tutorial"",
REGEXMATCH(LOWER(A252),"&amp;"""groww|mtf|margin|pledge""),""Platform / Groww Feature Tutorial"",
REGEXMATCH(LOWER(A252),""candlestick|chart|price action|trendline|rsi|indicator""),""Technical Analysis / Chart Patterns"",
REGEXMATCH(LOWER(A252),""beginner|guide|start trading""),""Begi"&amp;"nner Trading Education"",
REGEXMATCH(LOWER(A252),""interview|journey|talks|wisdom""),""Expert Interview / Trading Insights"",
REGEXMATCH(LOWER(A252),""risk|loss|drawdown|psychology""),""Trading Psychology / Risk Management"",
REGEXMATCH(LOWER(A252),""comm"&amp;"odity|crude|gold|natural gas""),""Commodity Trading Education"",
TRUE,""General Trading Education""
)
"),"Beginner Trading Education")</f>
        <v>Beginner Trading Education</v>
      </c>
    </row>
    <row r="253" ht="15.75" customHeight="1">
      <c r="A253" s="1" t="s">
        <v>1269</v>
      </c>
      <c r="B253" s="3" t="s">
        <v>1270</v>
      </c>
      <c r="C253" s="1" t="s">
        <v>1271</v>
      </c>
      <c r="D253" s="1" t="s">
        <v>1272</v>
      </c>
      <c r="E253" s="4">
        <v>45218.0</v>
      </c>
      <c r="F253" s="5">
        <v>0.5534722222222223</v>
      </c>
      <c r="G253" s="1">
        <v>9660.0</v>
      </c>
      <c r="H253" s="1">
        <v>425.0</v>
      </c>
      <c r="I253" s="1">
        <v>7.0</v>
      </c>
      <c r="J253" s="3" t="s">
        <v>1273</v>
      </c>
      <c r="K253" s="6">
        <f t="shared" si="1"/>
        <v>4.472049689</v>
      </c>
      <c r="L253" s="7">
        <f t="shared" si="2"/>
        <v>797</v>
      </c>
      <c r="M253" s="8">
        <f t="shared" si="3"/>
        <v>45215</v>
      </c>
      <c r="N253" s="9" t="str">
        <f>IFERROR(__xludf.DUMMYFUNCTION("IFS(
REGEXMATCH(LOWER(A253),""option|options""),""Options Strategy Education"",
REGEXMATCH(LOWER(A253),""bank nifty|nifty|index""),""Index Options"",
REGEXMATCH(LOWER(A253),""algo|api|systematic""),""Algo Trading / API Tutorial"",
REGEXMATCH(LOWER(A253),"&amp;"""groww|mtf|margin|pledge""),""Platform / Groww Feature Tutorial"",
REGEXMATCH(LOWER(A253),""candlestick|chart|price action|trendline|rsi|indicator""),""Technical Analysis / Chart Patterns"",
REGEXMATCH(LOWER(A253),""beginner|guide|start trading""),""Begi"&amp;"nner Trading Education"",
REGEXMATCH(LOWER(A253),""interview|journey|talks|wisdom""),""Expert Interview / Trading Insights"",
REGEXMATCH(LOWER(A253),""risk|loss|drawdown|psychology""),""Trading Psychology / Risk Management"",
REGEXMATCH(LOWER(A253),""comm"&amp;"odity|crude|gold|natural gas""),""Commodity Trading Education"",
TRUE,""General Trading Education""
)
"),"Beginner Trading Education")</f>
        <v>Beginner Trading Education</v>
      </c>
    </row>
    <row r="254" ht="15.75" customHeight="1">
      <c r="A254" s="1" t="s">
        <v>1274</v>
      </c>
      <c r="B254" s="3" t="s">
        <v>1275</v>
      </c>
      <c r="C254" s="1" t="s">
        <v>1276</v>
      </c>
      <c r="D254" s="1" t="s">
        <v>1277</v>
      </c>
      <c r="E254" s="4">
        <v>45216.0</v>
      </c>
      <c r="F254" s="5">
        <v>0.6284722222222222</v>
      </c>
      <c r="G254" s="1">
        <v>24002.0</v>
      </c>
      <c r="H254" s="1">
        <v>808.0</v>
      </c>
      <c r="I254" s="1">
        <v>20.0</v>
      </c>
      <c r="J254" s="3" t="s">
        <v>1278</v>
      </c>
      <c r="K254" s="6">
        <f t="shared" si="1"/>
        <v>3.449712524</v>
      </c>
      <c r="L254" s="7">
        <f t="shared" si="2"/>
        <v>905</v>
      </c>
      <c r="M254" s="8">
        <f t="shared" si="3"/>
        <v>45215</v>
      </c>
      <c r="N254" s="9" t="str">
        <f>IFERROR(__xludf.DUMMYFUNCTION("IFS(
REGEXMATCH(LOWER(A254),""option|options""),""Options Strategy Education"",
REGEXMATCH(LOWER(A254),""bank nifty|nifty|index""),""Index Options"",
REGEXMATCH(LOWER(A254),""algo|api|systematic""),""Algo Trading / API Tutorial"",
REGEXMATCH(LOWER(A254),"&amp;"""groww|mtf|margin|pledge""),""Platform / Groww Feature Tutorial"",
REGEXMATCH(LOWER(A254),""candlestick|chart|price action|trendline|rsi|indicator""),""Technical Analysis / Chart Patterns"",
REGEXMATCH(LOWER(A254),""beginner|guide|start trading""),""Begi"&amp;"nner Trading Education"",
REGEXMATCH(LOWER(A254),""interview|journey|talks|wisdom""),""Expert Interview / Trading Insights"",
REGEXMATCH(LOWER(A254),""risk|loss|drawdown|psychology""),""Trading Psychology / Risk Management"",
REGEXMATCH(LOWER(A254),""comm"&amp;"odity|crude|gold|natural gas""),""Commodity Trading Education"",
TRUE,""General Trading Education""
)
"),"Technical Analysis / Chart Patterns")</f>
        <v>Technical Analysis / Chart Patterns</v>
      </c>
    </row>
    <row r="255" ht="15.75" customHeight="1">
      <c r="A255" s="1" t="s">
        <v>1279</v>
      </c>
      <c r="B255" s="3" t="s">
        <v>1280</v>
      </c>
      <c r="C255" s="1" t="s">
        <v>1281</v>
      </c>
      <c r="D255" s="1" t="s">
        <v>1282</v>
      </c>
      <c r="E255" s="4">
        <v>45214.0</v>
      </c>
      <c r="F255" s="5">
        <v>0.5006944444444444</v>
      </c>
      <c r="G255" s="1">
        <v>25340.0</v>
      </c>
      <c r="H255" s="1">
        <v>1014.0</v>
      </c>
      <c r="I255" s="1">
        <v>23.0</v>
      </c>
      <c r="J255" s="3" t="s">
        <v>1283</v>
      </c>
      <c r="K255" s="6">
        <f t="shared" si="1"/>
        <v>4.09234412</v>
      </c>
      <c r="L255" s="7">
        <f t="shared" si="2"/>
        <v>721</v>
      </c>
      <c r="M255" s="8">
        <f t="shared" si="3"/>
        <v>45208</v>
      </c>
      <c r="N255" s="9" t="str">
        <f>IFERROR(__xludf.DUMMYFUNCTION("IFS(
REGEXMATCH(LOWER(A255),""option|options""),""Options Strategy Education"",
REGEXMATCH(LOWER(A255),""bank nifty|nifty|index""),""Index Options"",
REGEXMATCH(LOWER(A255),""algo|api|systematic""),""Algo Trading / API Tutorial"",
REGEXMATCH(LOWER(A255),"&amp;"""groww|mtf|margin|pledge""),""Platform / Groww Feature Tutorial"",
REGEXMATCH(LOWER(A255),""candlestick|chart|price action|trendline|rsi|indicator""),""Technical Analysis / Chart Patterns"",
REGEXMATCH(LOWER(A255),""beginner|guide|start trading""),""Begi"&amp;"nner Trading Education"",
REGEXMATCH(LOWER(A255),""interview|journey|talks|wisdom""),""Expert Interview / Trading Insights"",
REGEXMATCH(LOWER(A255),""risk|loss|drawdown|psychology""),""Trading Psychology / Risk Management"",
REGEXMATCH(LOWER(A255),""comm"&amp;"odity|crude|gold|natural gas""),""Commodity Trading Education"",
TRUE,""General Trading Education""
)
"),"Index Options")</f>
        <v>Index Options</v>
      </c>
    </row>
    <row r="256" ht="15.75" customHeight="1">
      <c r="A256" s="1" t="s">
        <v>1284</v>
      </c>
      <c r="B256" s="3" t="s">
        <v>1285</v>
      </c>
      <c r="C256" s="1" t="s">
        <v>1286</v>
      </c>
      <c r="D256" s="1" t="s">
        <v>1287</v>
      </c>
      <c r="E256" s="4">
        <v>45213.0</v>
      </c>
      <c r="F256" s="5">
        <v>0.5638888888888889</v>
      </c>
      <c r="G256" s="1">
        <v>16933.0</v>
      </c>
      <c r="H256" s="1">
        <v>744.0</v>
      </c>
      <c r="I256" s="1">
        <v>16.0</v>
      </c>
      <c r="J256" s="3" t="s">
        <v>1288</v>
      </c>
      <c r="K256" s="6">
        <f t="shared" si="1"/>
        <v>4.488277328</v>
      </c>
      <c r="L256" s="7">
        <f t="shared" si="2"/>
        <v>812</v>
      </c>
      <c r="M256" s="8">
        <f t="shared" si="3"/>
        <v>45208</v>
      </c>
      <c r="N256" s="9" t="str">
        <f>IFERROR(__xludf.DUMMYFUNCTION("IFS(
REGEXMATCH(LOWER(A256),""option|options""),""Options Strategy Education"",
REGEXMATCH(LOWER(A256),""bank nifty|nifty|index""),""Index Options"",
REGEXMATCH(LOWER(A256),""algo|api|systematic""),""Algo Trading / API Tutorial"",
REGEXMATCH(LOWER(A256),"&amp;"""groww|mtf|margin|pledge""),""Platform / Groww Feature Tutorial"",
REGEXMATCH(LOWER(A256),""candlestick|chart|price action|trendline|rsi|indicator""),""Technical Analysis / Chart Patterns"",
REGEXMATCH(LOWER(A256),""beginner|guide|start trading""),""Begi"&amp;"nner Trading Education"",
REGEXMATCH(LOWER(A256),""interview|journey|talks|wisdom""),""Expert Interview / Trading Insights"",
REGEXMATCH(LOWER(A256),""risk|loss|drawdown|psychology""),""Trading Psychology / Risk Management"",
REGEXMATCH(LOWER(A256),""comm"&amp;"odity|crude|gold|natural gas""),""Commodity Trading Education"",
TRUE,""General Trading Education""
)
"),"General Trading Education")</f>
        <v>General Trading Education</v>
      </c>
    </row>
    <row r="257" ht="15.75" customHeight="1">
      <c r="A257" s="1" t="s">
        <v>1289</v>
      </c>
      <c r="B257" s="3" t="s">
        <v>1290</v>
      </c>
      <c r="C257" s="1" t="s">
        <v>1291</v>
      </c>
      <c r="D257" s="1" t="s">
        <v>1292</v>
      </c>
      <c r="E257" s="4">
        <v>45211.0</v>
      </c>
      <c r="F257" s="5">
        <v>0.5291666666666667</v>
      </c>
      <c r="G257" s="1">
        <v>17803.0</v>
      </c>
      <c r="H257" s="1">
        <v>366.0</v>
      </c>
      <c r="I257" s="1">
        <v>16.0</v>
      </c>
      <c r="J257" s="3" t="s">
        <v>1293</v>
      </c>
      <c r="K257" s="6">
        <f t="shared" si="1"/>
        <v>2.14570578</v>
      </c>
      <c r="L257" s="7">
        <f t="shared" si="2"/>
        <v>762</v>
      </c>
      <c r="M257" s="8">
        <f t="shared" si="3"/>
        <v>45208</v>
      </c>
      <c r="N257" s="9" t="str">
        <f>IFERROR(__xludf.DUMMYFUNCTION("IFS(
REGEXMATCH(LOWER(A257),""option|options""),""Options Strategy Education"",
REGEXMATCH(LOWER(A257),""bank nifty|nifty|index""),""Index Options"",
REGEXMATCH(LOWER(A257),""algo|api|systematic""),""Algo Trading / API Tutorial"",
REGEXMATCH(LOWER(A257),"&amp;"""groww|mtf|margin|pledge""),""Platform / Groww Feature Tutorial"",
REGEXMATCH(LOWER(A257),""candlestick|chart|price action|trendline|rsi|indicator""),""Technical Analysis / Chart Patterns"",
REGEXMATCH(LOWER(A257),""beginner|guide|start trading""),""Begi"&amp;"nner Trading Education"",
REGEXMATCH(LOWER(A257),""interview|journey|talks|wisdom""),""Expert Interview / Trading Insights"",
REGEXMATCH(LOWER(A257),""risk|loss|drawdown|psychology""),""Trading Psychology / Risk Management"",
REGEXMATCH(LOWER(A257),""comm"&amp;"odity|crude|gold|natural gas""),""Commodity Trading Education"",
TRUE,""General Trading Education""
)
"),"General Trading Education")</f>
        <v>General Trading Education</v>
      </c>
    </row>
    <row r="258" ht="15.75" customHeight="1">
      <c r="A258" s="1" t="s">
        <v>1294</v>
      </c>
      <c r="B258" s="3" t="s">
        <v>1295</v>
      </c>
      <c r="C258" s="1" t="s">
        <v>1296</v>
      </c>
      <c r="D258" s="1" t="s">
        <v>1297</v>
      </c>
      <c r="E258" s="4">
        <v>45209.0</v>
      </c>
      <c r="F258" s="5">
        <v>0.6166666666666667</v>
      </c>
      <c r="G258" s="1">
        <v>15828.0</v>
      </c>
      <c r="H258" s="1">
        <v>639.0</v>
      </c>
      <c r="I258" s="1">
        <v>22.0</v>
      </c>
      <c r="J258" s="3" t="s">
        <v>1298</v>
      </c>
      <c r="K258" s="6">
        <f t="shared" si="1"/>
        <v>4.176143543</v>
      </c>
      <c r="L258" s="7">
        <f t="shared" si="2"/>
        <v>888</v>
      </c>
      <c r="M258" s="8">
        <f t="shared" si="3"/>
        <v>45208</v>
      </c>
      <c r="N258" s="9" t="str">
        <f>IFERROR(__xludf.DUMMYFUNCTION("IFS(
REGEXMATCH(LOWER(A258),""option|options""),""Options Strategy Education"",
REGEXMATCH(LOWER(A258),""bank nifty|nifty|index""),""Index Options"",
REGEXMATCH(LOWER(A258),""algo|api|systematic""),""Algo Trading / API Tutorial"",
REGEXMATCH(LOWER(A258),"&amp;"""groww|mtf|margin|pledge""),""Platform / Groww Feature Tutorial"",
REGEXMATCH(LOWER(A258),""candlestick|chart|price action|trendline|rsi|indicator""),""Technical Analysis / Chart Patterns"",
REGEXMATCH(LOWER(A258),""beginner|guide|start trading""),""Begi"&amp;"nner Trading Education"",
REGEXMATCH(LOWER(A258),""interview|journey|talks|wisdom""),""Expert Interview / Trading Insights"",
REGEXMATCH(LOWER(A258),""risk|loss|drawdown|psychology""),""Trading Psychology / Risk Management"",
REGEXMATCH(LOWER(A258),""comm"&amp;"odity|crude|gold|natural gas""),""Commodity Trading Education"",
TRUE,""General Trading Education""
)
"),"Technical Analysis / Chart Patterns")</f>
        <v>Technical Analysis / Chart Patterns</v>
      </c>
    </row>
    <row r="259" ht="15.75" customHeight="1">
      <c r="A259" s="1" t="s">
        <v>1299</v>
      </c>
      <c r="B259" s="3" t="s">
        <v>1300</v>
      </c>
      <c r="C259" s="1" t="s">
        <v>1301</v>
      </c>
      <c r="D259" s="1" t="s">
        <v>1302</v>
      </c>
      <c r="E259" s="4">
        <v>45207.0</v>
      </c>
      <c r="F259" s="5">
        <v>0.5736111111111111</v>
      </c>
      <c r="G259" s="1">
        <v>41039.0</v>
      </c>
      <c r="H259" s="1">
        <v>1621.0</v>
      </c>
      <c r="I259" s="1">
        <v>38.0</v>
      </c>
      <c r="J259" s="3" t="s">
        <v>1303</v>
      </c>
      <c r="K259" s="6">
        <f t="shared" si="1"/>
        <v>4.042496162</v>
      </c>
      <c r="L259" s="7">
        <f t="shared" si="2"/>
        <v>826</v>
      </c>
      <c r="M259" s="8">
        <f t="shared" si="3"/>
        <v>45201</v>
      </c>
      <c r="N259" s="9" t="str">
        <f>IFERROR(__xludf.DUMMYFUNCTION("IFS(
REGEXMATCH(LOWER(A259),""option|options""),""Options Strategy Education"",
REGEXMATCH(LOWER(A259),""bank nifty|nifty|index""),""Index Options"",
REGEXMATCH(LOWER(A259),""algo|api|systematic""),""Algo Trading / API Tutorial"",
REGEXMATCH(LOWER(A259),"&amp;"""groww|mtf|margin|pledge""),""Platform / Groww Feature Tutorial"",
REGEXMATCH(LOWER(A259),""candlestick|chart|price action|trendline|rsi|indicator""),""Technical Analysis / Chart Patterns"",
REGEXMATCH(LOWER(A259),""beginner|guide|start trading""),""Begi"&amp;"nner Trading Education"",
REGEXMATCH(LOWER(A259),""interview|journey|talks|wisdom""),""Expert Interview / Trading Insights"",
REGEXMATCH(LOWER(A259),""risk|loss|drawdown|psychology""),""Trading Psychology / Risk Management"",
REGEXMATCH(LOWER(A259),""comm"&amp;"odity|crude|gold|natural gas""),""Commodity Trading Education"",
TRUE,""General Trading Education""
)
"),"General Trading Education")</f>
        <v>General Trading Education</v>
      </c>
    </row>
    <row r="260" ht="15.75" customHeight="1">
      <c r="A260" s="1" t="s">
        <v>1304</v>
      </c>
      <c r="B260" s="3" t="s">
        <v>1305</v>
      </c>
      <c r="C260" s="1" t="s">
        <v>1306</v>
      </c>
      <c r="D260" s="1" t="s">
        <v>1307</v>
      </c>
      <c r="E260" s="4">
        <v>45206.0</v>
      </c>
      <c r="F260" s="5">
        <v>0.34305555555555556</v>
      </c>
      <c r="G260" s="1">
        <v>160430.0</v>
      </c>
      <c r="H260" s="1">
        <v>3209.0</v>
      </c>
      <c r="I260" s="1">
        <v>166.0</v>
      </c>
      <c r="J260" s="3" t="s">
        <v>1308</v>
      </c>
      <c r="K260" s="6">
        <f t="shared" si="1"/>
        <v>2.103721249</v>
      </c>
      <c r="L260" s="7">
        <f t="shared" si="2"/>
        <v>494</v>
      </c>
      <c r="M260" s="8">
        <f t="shared" si="3"/>
        <v>45201</v>
      </c>
      <c r="N260" s="9" t="str">
        <f>IFERROR(__xludf.DUMMYFUNCTION("IFS(
REGEXMATCH(LOWER(A260),""option|options""),""Options Strategy Education"",
REGEXMATCH(LOWER(A260),""bank nifty|nifty|index""),""Index Options"",
REGEXMATCH(LOWER(A260),""algo|api|systematic""),""Algo Trading / API Tutorial"",
REGEXMATCH(LOWER(A260),"&amp;"""groww|mtf|margin|pledge""),""Platform / Groww Feature Tutorial"",
REGEXMATCH(LOWER(A260),""candlestick|chart|price action|trendline|rsi|indicator""),""Technical Analysis / Chart Patterns"",
REGEXMATCH(LOWER(A260),""beginner|guide|start trading""),""Begi"&amp;"nner Trading Education"",
REGEXMATCH(LOWER(A260),""interview|journey|talks|wisdom""),""Expert Interview / Trading Insights"",
REGEXMATCH(LOWER(A260),""risk|loss|drawdown|psychology""),""Trading Psychology / Risk Management"",
REGEXMATCH(LOWER(A260),""comm"&amp;"odity|crude|gold|natural gas""),""Commodity Trading Education"",
TRUE,""General Trading Education""
)
"),"Beginner Trading Education")</f>
        <v>Beginner Trading Education</v>
      </c>
    </row>
    <row r="261" ht="15.75" customHeight="1">
      <c r="A261" s="1" t="s">
        <v>1309</v>
      </c>
      <c r="B261" s="3" t="s">
        <v>1310</v>
      </c>
      <c r="C261" s="1" t="s">
        <v>1311</v>
      </c>
      <c r="D261" s="1" t="s">
        <v>1312</v>
      </c>
      <c r="E261" s="4">
        <v>45204.0</v>
      </c>
      <c r="F261" s="5">
        <v>0.7284722222222222</v>
      </c>
      <c r="G261" s="1">
        <v>14024.0</v>
      </c>
      <c r="H261" s="1">
        <v>215.0</v>
      </c>
      <c r="I261" s="1">
        <v>11.0</v>
      </c>
      <c r="J261" s="3" t="s">
        <v>1313</v>
      </c>
      <c r="K261" s="6">
        <f t="shared" si="1"/>
        <v>1.611523103</v>
      </c>
      <c r="L261" s="7">
        <f t="shared" si="2"/>
        <v>1049</v>
      </c>
      <c r="M261" s="8">
        <f t="shared" si="3"/>
        <v>45201</v>
      </c>
      <c r="N261" s="9" t="str">
        <f>IFERROR(__xludf.DUMMYFUNCTION("IFS(
REGEXMATCH(LOWER(A261),""option|options""),""Options Strategy Education"",
REGEXMATCH(LOWER(A261),""bank nifty|nifty|index""),""Index Options"",
REGEXMATCH(LOWER(A261),""algo|api|systematic""),""Algo Trading / API Tutorial"",
REGEXMATCH(LOWER(A261),"&amp;"""groww|mtf|margin|pledge""),""Platform / Groww Feature Tutorial"",
REGEXMATCH(LOWER(A261),""candlestick|chart|price action|trendline|rsi|indicator""),""Technical Analysis / Chart Patterns"",
REGEXMATCH(LOWER(A261),""beginner|guide|start trading""),""Begi"&amp;"nner Trading Education"",
REGEXMATCH(LOWER(A261),""interview|journey|talks|wisdom""),""Expert Interview / Trading Insights"",
REGEXMATCH(LOWER(A261),""risk|loss|drawdown|psychology""),""Trading Psychology / Risk Management"",
REGEXMATCH(LOWER(A261),""comm"&amp;"odity|crude|gold|natural gas""),""Commodity Trading Education"",
TRUE,""General Trading Education""
)
"),"General Trading Education")</f>
        <v>General Trading Education</v>
      </c>
    </row>
    <row r="262" ht="15.75" customHeight="1">
      <c r="A262" s="1" t="s">
        <v>1314</v>
      </c>
      <c r="B262" s="3" t="s">
        <v>1315</v>
      </c>
      <c r="C262" s="1" t="s">
        <v>1316</v>
      </c>
      <c r="D262" s="1" t="s">
        <v>1317</v>
      </c>
      <c r="E262" s="4">
        <v>45202.0</v>
      </c>
      <c r="F262" s="5">
        <v>0.8270833333333333</v>
      </c>
      <c r="G262" s="1">
        <v>9448.0</v>
      </c>
      <c r="H262" s="1">
        <v>425.0</v>
      </c>
      <c r="I262" s="1">
        <v>12.0</v>
      </c>
      <c r="J262" s="3" t="s">
        <v>1318</v>
      </c>
      <c r="K262" s="6">
        <f t="shared" si="1"/>
        <v>4.625317528</v>
      </c>
      <c r="L262" s="7">
        <f t="shared" si="2"/>
        <v>1191</v>
      </c>
      <c r="M262" s="8">
        <f t="shared" si="3"/>
        <v>45201</v>
      </c>
      <c r="N262" s="9" t="str">
        <f>IFERROR(__xludf.DUMMYFUNCTION("IFS(
REGEXMATCH(LOWER(A262),""option|options""),""Options Strategy Education"",
REGEXMATCH(LOWER(A262),""bank nifty|nifty|index""),""Index Options"",
REGEXMATCH(LOWER(A262),""algo|api|systematic""),""Algo Trading / API Tutorial"",
REGEXMATCH(LOWER(A262),"&amp;"""groww|mtf|margin|pledge""),""Platform / Groww Feature Tutorial"",
REGEXMATCH(LOWER(A262),""candlestick|chart|price action|trendline|rsi|indicator""),""Technical Analysis / Chart Patterns"",
REGEXMATCH(LOWER(A262),""beginner|guide|start trading""),""Begi"&amp;"nner Trading Education"",
REGEXMATCH(LOWER(A262),""interview|journey|talks|wisdom""),""Expert Interview / Trading Insights"",
REGEXMATCH(LOWER(A262),""risk|loss|drawdown|psychology""),""Trading Psychology / Risk Management"",
REGEXMATCH(LOWER(A262),""comm"&amp;"odity|crude|gold|natural gas""),""Commodity Trading Education"",
TRUE,""General Trading Education""
)
"),"Trading Psychology / Risk Management")</f>
        <v>Trading Psychology / Risk Management</v>
      </c>
    </row>
    <row r="263" ht="15.75" customHeight="1">
      <c r="A263" s="1" t="s">
        <v>1319</v>
      </c>
      <c r="B263" s="3" t="s">
        <v>1320</v>
      </c>
      <c r="C263" s="1" t="s">
        <v>1321</v>
      </c>
      <c r="D263" s="1" t="s">
        <v>1322</v>
      </c>
      <c r="E263" s="4">
        <v>45200.0</v>
      </c>
      <c r="F263" s="5">
        <v>0.6326388888888889</v>
      </c>
      <c r="G263" s="1">
        <v>36038.0</v>
      </c>
      <c r="H263" s="1">
        <v>1225.0</v>
      </c>
      <c r="I263" s="1">
        <v>30.0</v>
      </c>
      <c r="J263" s="3" t="s">
        <v>1323</v>
      </c>
      <c r="K263" s="6">
        <f t="shared" si="1"/>
        <v>3.482435207</v>
      </c>
      <c r="L263" s="7">
        <f t="shared" si="2"/>
        <v>911</v>
      </c>
      <c r="M263" s="8">
        <f t="shared" si="3"/>
        <v>45194</v>
      </c>
      <c r="N263" s="9" t="str">
        <f>IFERROR(__xludf.DUMMYFUNCTION("IFS(
REGEXMATCH(LOWER(A263),""option|options""),""Options Strategy Education"",
REGEXMATCH(LOWER(A263),""bank nifty|nifty|index""),""Index Options"",
REGEXMATCH(LOWER(A263),""algo|api|systematic""),""Algo Trading / API Tutorial"",
REGEXMATCH(LOWER(A263),"&amp;"""groww|mtf|margin|pledge""),""Platform / Groww Feature Tutorial"",
REGEXMATCH(LOWER(A263),""candlestick|chart|price action|trendline|rsi|indicator""),""Technical Analysis / Chart Patterns"",
REGEXMATCH(LOWER(A263),""beginner|guide|start trading""),""Begi"&amp;"nner Trading Education"",
REGEXMATCH(LOWER(A263),""interview|journey|talks|wisdom""),""Expert Interview / Trading Insights"",
REGEXMATCH(LOWER(A263),""risk|loss|drawdown|psychology""),""Trading Psychology / Risk Management"",
REGEXMATCH(LOWER(A263),""comm"&amp;"odity|crude|gold|natural gas""),""Commodity Trading Education"",
TRUE,""General Trading Education""
)
"),"General Trading Education")</f>
        <v>General Trading Education</v>
      </c>
    </row>
    <row r="264" ht="15.75" customHeight="1">
      <c r="A264" s="1" t="s">
        <v>1324</v>
      </c>
      <c r="B264" s="3" t="s">
        <v>1325</v>
      </c>
      <c r="C264" s="1" t="s">
        <v>1326</v>
      </c>
      <c r="D264" s="1" t="s">
        <v>1327</v>
      </c>
      <c r="E264" s="4">
        <v>45199.0</v>
      </c>
      <c r="F264" s="5">
        <v>0.5465277777777777</v>
      </c>
      <c r="G264" s="1">
        <v>59462.0</v>
      </c>
      <c r="H264" s="1">
        <v>2071.0</v>
      </c>
      <c r="I264" s="1">
        <v>62.0</v>
      </c>
      <c r="J264" s="3" t="s">
        <v>1328</v>
      </c>
      <c r="K264" s="6">
        <f t="shared" si="1"/>
        <v>3.587164912</v>
      </c>
      <c r="L264" s="7">
        <f t="shared" si="2"/>
        <v>787</v>
      </c>
      <c r="M264" s="8">
        <f t="shared" si="3"/>
        <v>45194</v>
      </c>
      <c r="N264" s="9" t="str">
        <f>IFERROR(__xludf.DUMMYFUNCTION("IFS(
REGEXMATCH(LOWER(A264),""option|options""),""Options Strategy Education"",
REGEXMATCH(LOWER(A264),""bank nifty|nifty|index""),""Index Options"",
REGEXMATCH(LOWER(A264),""algo|api|systematic""),""Algo Trading / API Tutorial"",
REGEXMATCH(LOWER(A264),"&amp;"""groww|mtf|margin|pledge""),""Platform / Groww Feature Tutorial"",
REGEXMATCH(LOWER(A264),""candlestick|chart|price action|trendline|rsi|indicator""),""Technical Analysis / Chart Patterns"",
REGEXMATCH(LOWER(A264),""beginner|guide|start trading""),""Begi"&amp;"nner Trading Education"",
REGEXMATCH(LOWER(A264),""interview|journey|talks|wisdom""),""Expert Interview / Trading Insights"",
REGEXMATCH(LOWER(A264),""risk|loss|drawdown|psychology""),""Trading Psychology / Risk Management"",
REGEXMATCH(LOWER(A264),""comm"&amp;"odity|crude|gold|natural gas""),""Commodity Trading Education"",
TRUE,""General Trading Education""
)
"),"Options Strategy Education")</f>
        <v>Options Strategy Education</v>
      </c>
    </row>
    <row r="265" ht="15.75" customHeight="1">
      <c r="A265" s="1" t="s">
        <v>1329</v>
      </c>
      <c r="B265" s="3" t="s">
        <v>1330</v>
      </c>
      <c r="C265" s="1" t="s">
        <v>1331</v>
      </c>
      <c r="D265" s="1" t="s">
        <v>1332</v>
      </c>
      <c r="E265" s="4">
        <v>45197.0</v>
      </c>
      <c r="F265" s="5">
        <v>0.4638888888888889</v>
      </c>
      <c r="G265" s="1">
        <v>22444.0</v>
      </c>
      <c r="H265" s="1">
        <v>492.0</v>
      </c>
      <c r="I265" s="1">
        <v>27.0</v>
      </c>
      <c r="J265" s="3" t="s">
        <v>1333</v>
      </c>
      <c r="K265" s="6">
        <f t="shared" si="1"/>
        <v>2.312422028</v>
      </c>
      <c r="L265" s="7">
        <f t="shared" si="2"/>
        <v>668</v>
      </c>
      <c r="M265" s="8">
        <f t="shared" si="3"/>
        <v>45194</v>
      </c>
      <c r="N265" s="9" t="str">
        <f>IFERROR(__xludf.DUMMYFUNCTION("IFS(
REGEXMATCH(LOWER(A265),""option|options""),""Options Strategy Education"",
REGEXMATCH(LOWER(A265),""bank nifty|nifty|index""),""Index Options"",
REGEXMATCH(LOWER(A265),""algo|api|systematic""),""Algo Trading / API Tutorial"",
REGEXMATCH(LOWER(A265),"&amp;"""groww|mtf|margin|pledge""),""Platform / Groww Feature Tutorial"",
REGEXMATCH(LOWER(A265),""candlestick|chart|price action|trendline|rsi|indicator""),""Technical Analysis / Chart Patterns"",
REGEXMATCH(LOWER(A265),""beginner|guide|start trading""),""Begi"&amp;"nner Trading Education"",
REGEXMATCH(LOWER(A265),""interview|journey|talks|wisdom""),""Expert Interview / Trading Insights"",
REGEXMATCH(LOWER(A265),""risk|loss|drawdown|psychology""),""Trading Psychology / Risk Management"",
REGEXMATCH(LOWER(A265),""comm"&amp;"odity|crude|gold|natural gas""),""Commodity Trading Education"",
TRUE,""General Trading Education""
)
"),"General Trading Education")</f>
        <v>General Trading Education</v>
      </c>
    </row>
    <row r="266" ht="15.75" customHeight="1">
      <c r="A266" s="1" t="s">
        <v>1334</v>
      </c>
      <c r="B266" s="3" t="s">
        <v>1335</v>
      </c>
      <c r="C266" s="1" t="s">
        <v>1336</v>
      </c>
      <c r="D266" s="1" t="s">
        <v>1337</v>
      </c>
      <c r="E266" s="4">
        <v>45195.0</v>
      </c>
      <c r="F266" s="5">
        <v>0.7548611111111111</v>
      </c>
      <c r="G266" s="1">
        <v>34784.0</v>
      </c>
      <c r="H266" s="1">
        <v>1420.0</v>
      </c>
      <c r="I266" s="1">
        <v>53.0</v>
      </c>
      <c r="J266" s="3" t="s">
        <v>1338</v>
      </c>
      <c r="K266" s="6">
        <f t="shared" si="1"/>
        <v>4.234705612</v>
      </c>
      <c r="L266" s="7">
        <f t="shared" si="2"/>
        <v>1087</v>
      </c>
      <c r="M266" s="8">
        <f t="shared" si="3"/>
        <v>45194</v>
      </c>
      <c r="N266" s="9" t="str">
        <f>IFERROR(__xludf.DUMMYFUNCTION("IFS(
REGEXMATCH(LOWER(A266),""option|options""),""Options Strategy Education"",
REGEXMATCH(LOWER(A266),""bank nifty|nifty|index""),""Index Options"",
REGEXMATCH(LOWER(A266),""algo|api|systematic""),""Algo Trading / API Tutorial"",
REGEXMATCH(LOWER(A266),"&amp;"""groww|mtf|margin|pledge""),""Platform / Groww Feature Tutorial"",
REGEXMATCH(LOWER(A266),""candlestick|chart|price action|trendline|rsi|indicator""),""Technical Analysis / Chart Patterns"",
REGEXMATCH(LOWER(A266),""beginner|guide|start trading""),""Begi"&amp;"nner Trading Education"",
REGEXMATCH(LOWER(A266),""interview|journey|talks|wisdom""),""Expert Interview / Trading Insights"",
REGEXMATCH(LOWER(A266),""risk|loss|drawdown|psychology""),""Trading Psychology / Risk Management"",
REGEXMATCH(LOWER(A266),""comm"&amp;"odity|crude|gold|natural gas""),""Commodity Trading Education"",
TRUE,""General Trading Education""
)
"),"Beginner Trading Education")</f>
        <v>Beginner Trading Education</v>
      </c>
    </row>
    <row r="267" ht="15.75" customHeight="1">
      <c r="A267" s="1" t="s">
        <v>1339</v>
      </c>
      <c r="B267" s="3" t="s">
        <v>1340</v>
      </c>
      <c r="C267" s="1" t="s">
        <v>1341</v>
      </c>
      <c r="D267" s="1" t="s">
        <v>1342</v>
      </c>
      <c r="E267" s="4">
        <v>45193.0</v>
      </c>
      <c r="F267" s="5">
        <v>0.46458333333333335</v>
      </c>
      <c r="G267" s="1">
        <v>14526.0</v>
      </c>
      <c r="H267" s="1">
        <v>577.0</v>
      </c>
      <c r="I267" s="1">
        <v>24.0</v>
      </c>
      <c r="J267" s="3" t="s">
        <v>1343</v>
      </c>
      <c r="K267" s="6">
        <f t="shared" si="1"/>
        <v>4.137408784</v>
      </c>
      <c r="L267" s="7">
        <f t="shared" si="2"/>
        <v>669</v>
      </c>
      <c r="M267" s="8">
        <f t="shared" si="3"/>
        <v>45187</v>
      </c>
      <c r="N267" s="9" t="str">
        <f>IFERROR(__xludf.DUMMYFUNCTION("IFS(
REGEXMATCH(LOWER(A267),""option|options""),""Options Strategy Education"",
REGEXMATCH(LOWER(A267),""bank nifty|nifty|index""),""Index Options"",
REGEXMATCH(LOWER(A267),""algo|api|systematic""),""Algo Trading / API Tutorial"",
REGEXMATCH(LOWER(A267),"&amp;"""groww|mtf|margin|pledge""),""Platform / Groww Feature Tutorial"",
REGEXMATCH(LOWER(A267),""candlestick|chart|price action|trendline|rsi|indicator""),""Technical Analysis / Chart Patterns"",
REGEXMATCH(LOWER(A267),""beginner|guide|start trading""),""Begi"&amp;"nner Trading Education"",
REGEXMATCH(LOWER(A267),""interview|journey|talks|wisdom""),""Expert Interview / Trading Insights"",
REGEXMATCH(LOWER(A267),""risk|loss|drawdown|psychology""),""Trading Psychology / Risk Management"",
REGEXMATCH(LOWER(A267),""comm"&amp;"odity|crude|gold|natural gas""),""Commodity Trading Education"",
TRUE,""General Trading Education""
)
"),"Technical Analysis / Chart Patterns")</f>
        <v>Technical Analysis / Chart Patterns</v>
      </c>
    </row>
    <row r="268" ht="15.75" customHeight="1">
      <c r="A268" s="1" t="s">
        <v>1344</v>
      </c>
      <c r="B268" s="3" t="s">
        <v>1345</v>
      </c>
      <c r="C268" s="1" t="s">
        <v>1346</v>
      </c>
      <c r="D268" s="1" t="s">
        <v>1347</v>
      </c>
      <c r="E268" s="4">
        <v>45192.0</v>
      </c>
      <c r="F268" s="5">
        <v>0.6069444444444444</v>
      </c>
      <c r="G268" s="1">
        <v>15638.0</v>
      </c>
      <c r="H268" s="1">
        <v>614.0</v>
      </c>
      <c r="I268" s="1">
        <v>26.0</v>
      </c>
      <c r="J268" s="3" t="s">
        <v>1348</v>
      </c>
      <c r="K268" s="6">
        <f t="shared" si="1"/>
        <v>4.092594961</v>
      </c>
      <c r="L268" s="7">
        <f t="shared" si="2"/>
        <v>874</v>
      </c>
      <c r="M268" s="8">
        <f t="shared" si="3"/>
        <v>45187</v>
      </c>
      <c r="N268" s="9" t="str">
        <f>IFERROR(__xludf.DUMMYFUNCTION("IFS(
REGEXMATCH(LOWER(A268),""option|options""),""Options Strategy Education"",
REGEXMATCH(LOWER(A268),""bank nifty|nifty|index""),""Index Options"",
REGEXMATCH(LOWER(A268),""algo|api|systematic""),""Algo Trading / API Tutorial"",
REGEXMATCH(LOWER(A268),"&amp;"""groww|mtf|margin|pledge""),""Platform / Groww Feature Tutorial"",
REGEXMATCH(LOWER(A268),""candlestick|chart|price action|trendline|rsi|indicator""),""Technical Analysis / Chart Patterns"",
REGEXMATCH(LOWER(A268),""beginner|guide|start trading""),""Begi"&amp;"nner Trading Education"",
REGEXMATCH(LOWER(A268),""interview|journey|talks|wisdom""),""Expert Interview / Trading Insights"",
REGEXMATCH(LOWER(A268),""risk|loss|drawdown|psychology""),""Trading Psychology / Risk Management"",
REGEXMATCH(LOWER(A268),""comm"&amp;"odity|crude|gold|natural gas""),""Commodity Trading Education"",
TRUE,""General Trading Education""
)
"),"General Trading Education")</f>
        <v>General Trading Education</v>
      </c>
    </row>
    <row r="269" ht="15.75" customHeight="1">
      <c r="A269" s="1" t="s">
        <v>1349</v>
      </c>
      <c r="B269" s="3" t="s">
        <v>1350</v>
      </c>
      <c r="C269" s="1" t="s">
        <v>1351</v>
      </c>
      <c r="D269" s="1" t="s">
        <v>1352</v>
      </c>
      <c r="E269" s="4">
        <v>45190.0</v>
      </c>
      <c r="F269" s="5">
        <v>0.5833333333333334</v>
      </c>
      <c r="G269" s="1">
        <v>23685.0</v>
      </c>
      <c r="H269" s="1">
        <v>737.0</v>
      </c>
      <c r="I269" s="1">
        <v>13.0</v>
      </c>
      <c r="J269" s="3" t="s">
        <v>1353</v>
      </c>
      <c r="K269" s="6">
        <f t="shared" si="1"/>
        <v>3.166561115</v>
      </c>
      <c r="L269" s="7">
        <f t="shared" si="2"/>
        <v>840</v>
      </c>
      <c r="M269" s="8">
        <f t="shared" si="3"/>
        <v>45187</v>
      </c>
      <c r="N269" s="9" t="str">
        <f>IFERROR(__xludf.DUMMYFUNCTION("IFS(
REGEXMATCH(LOWER(A269),""option|options""),""Options Strategy Education"",
REGEXMATCH(LOWER(A269),""bank nifty|nifty|index""),""Index Options"",
REGEXMATCH(LOWER(A269),""algo|api|systematic""),""Algo Trading / API Tutorial"",
REGEXMATCH(LOWER(A269),"&amp;"""groww|mtf|margin|pledge""),""Platform / Groww Feature Tutorial"",
REGEXMATCH(LOWER(A269),""candlestick|chart|price action|trendline|rsi|indicator""),""Technical Analysis / Chart Patterns"",
REGEXMATCH(LOWER(A269),""beginner|guide|start trading""),""Begi"&amp;"nner Trading Education"",
REGEXMATCH(LOWER(A269),""interview|journey|talks|wisdom""),""Expert Interview / Trading Insights"",
REGEXMATCH(LOWER(A269),""risk|loss|drawdown|psychology""),""Trading Psychology / Risk Management"",
REGEXMATCH(LOWER(A269),""comm"&amp;"odity|crude|gold|natural gas""),""Commodity Trading Education"",
TRUE,""General Trading Education""
)
"),"Trading Psychology / Risk Management")</f>
        <v>Trading Psychology / Risk Management</v>
      </c>
    </row>
    <row r="270" ht="15.75" customHeight="1">
      <c r="A270" s="1" t="s">
        <v>1354</v>
      </c>
      <c r="B270" s="3" t="s">
        <v>1355</v>
      </c>
      <c r="C270" s="1" t="s">
        <v>1356</v>
      </c>
      <c r="D270" s="1" t="s">
        <v>1357</v>
      </c>
      <c r="E270" s="4">
        <v>45188.0</v>
      </c>
      <c r="F270" s="5">
        <v>0.7381944444444445</v>
      </c>
      <c r="G270" s="1">
        <v>12999.0</v>
      </c>
      <c r="H270" s="1">
        <v>581.0</v>
      </c>
      <c r="I270" s="1">
        <v>15.0</v>
      </c>
      <c r="J270" s="3" t="s">
        <v>1358</v>
      </c>
      <c r="K270" s="6">
        <f t="shared" si="1"/>
        <v>4.584968074</v>
      </c>
      <c r="L270" s="7">
        <f t="shared" si="2"/>
        <v>1063</v>
      </c>
      <c r="M270" s="8">
        <f t="shared" si="3"/>
        <v>45187</v>
      </c>
      <c r="N270" s="9" t="str">
        <f>IFERROR(__xludf.DUMMYFUNCTION("IFS(
REGEXMATCH(LOWER(A270),""option|options""),""Options Strategy Education"",
REGEXMATCH(LOWER(A270),""bank nifty|nifty|index""),""Index Options"",
REGEXMATCH(LOWER(A270),""algo|api|systematic""),""Algo Trading / API Tutorial"",
REGEXMATCH(LOWER(A270),"&amp;"""groww|mtf|margin|pledge""),""Platform / Groww Feature Tutorial"",
REGEXMATCH(LOWER(A270),""candlestick|chart|price action|trendline|rsi|indicator""),""Technical Analysis / Chart Patterns"",
REGEXMATCH(LOWER(A270),""beginner|guide|start trading""),""Begi"&amp;"nner Trading Education"",
REGEXMATCH(LOWER(A270),""interview|journey|talks|wisdom""),""Expert Interview / Trading Insights"",
REGEXMATCH(LOWER(A270),""risk|loss|drawdown|psychology""),""Trading Psychology / Risk Management"",
REGEXMATCH(LOWER(A270),""comm"&amp;"odity|crude|gold|natural gas""),""Commodity Trading Education"",
TRUE,""General Trading Education""
)
"),"Trading Psychology / Risk Management")</f>
        <v>Trading Psychology / Risk Management</v>
      </c>
    </row>
    <row r="271" ht="15.75" customHeight="1">
      <c r="A271" s="1" t="s">
        <v>1359</v>
      </c>
      <c r="B271" s="3" t="s">
        <v>1360</v>
      </c>
      <c r="C271" s="1" t="s">
        <v>1361</v>
      </c>
      <c r="D271" s="1" t="s">
        <v>1362</v>
      </c>
      <c r="E271" s="4">
        <v>45186.0</v>
      </c>
      <c r="F271" s="5">
        <v>0.5145833333333333</v>
      </c>
      <c r="G271" s="1">
        <v>185886.0</v>
      </c>
      <c r="H271" s="1">
        <v>4295.0</v>
      </c>
      <c r="I271" s="1">
        <v>71.0</v>
      </c>
      <c r="J271" s="3" t="s">
        <v>1363</v>
      </c>
      <c r="K271" s="6">
        <f t="shared" si="1"/>
        <v>2.348751385</v>
      </c>
      <c r="L271" s="7">
        <f t="shared" si="2"/>
        <v>741</v>
      </c>
      <c r="M271" s="8">
        <f t="shared" si="3"/>
        <v>45180</v>
      </c>
      <c r="N271" s="9" t="str">
        <f>IFERROR(__xludf.DUMMYFUNCTION("IFS(
REGEXMATCH(LOWER(A271),""option|options""),""Options Strategy Education"",
REGEXMATCH(LOWER(A271),""bank nifty|nifty|index""),""Index Options"",
REGEXMATCH(LOWER(A271),""algo|api|systematic""),""Algo Trading / API Tutorial"",
REGEXMATCH(LOWER(A271),"&amp;"""groww|mtf|margin|pledge""),""Platform / Groww Feature Tutorial"",
REGEXMATCH(LOWER(A271),""candlestick|chart|price action|trendline|rsi|indicator""),""Technical Analysis / Chart Patterns"",
REGEXMATCH(LOWER(A271),""beginner|guide|start trading""),""Begi"&amp;"nner Trading Education"",
REGEXMATCH(LOWER(A271),""interview|journey|talks|wisdom""),""Expert Interview / Trading Insights"",
REGEXMATCH(LOWER(A271),""risk|loss|drawdown|psychology""),""Trading Psychology / Risk Management"",
REGEXMATCH(LOWER(A271),""comm"&amp;"odity|crude|gold|natural gas""),""Commodity Trading Education"",
TRUE,""General Trading Education""
)
"),"Technical Analysis / Chart Patterns")</f>
        <v>Technical Analysis / Chart Patterns</v>
      </c>
    </row>
    <row r="272" ht="15.75" customHeight="1">
      <c r="A272" s="1" t="s">
        <v>1364</v>
      </c>
      <c r="B272" s="3" t="s">
        <v>1365</v>
      </c>
      <c r="C272" s="1" t="s">
        <v>1366</v>
      </c>
      <c r="D272" s="1" t="s">
        <v>1367</v>
      </c>
      <c r="E272" s="4">
        <v>45183.0</v>
      </c>
      <c r="F272" s="5">
        <v>0.5833333333333334</v>
      </c>
      <c r="G272" s="1">
        <v>14247.0</v>
      </c>
      <c r="H272" s="1">
        <v>470.0</v>
      </c>
      <c r="I272" s="1">
        <v>18.0</v>
      </c>
      <c r="J272" s="3" t="s">
        <v>1368</v>
      </c>
      <c r="K272" s="6">
        <f t="shared" si="1"/>
        <v>3.425282516</v>
      </c>
      <c r="L272" s="7">
        <f t="shared" si="2"/>
        <v>840</v>
      </c>
      <c r="M272" s="8">
        <f t="shared" si="3"/>
        <v>45180</v>
      </c>
      <c r="N272" s="9" t="str">
        <f>IFERROR(__xludf.DUMMYFUNCTION("IFS(
REGEXMATCH(LOWER(A272),""option|options""),""Options Strategy Education"",
REGEXMATCH(LOWER(A272),""bank nifty|nifty|index""),""Index Options"",
REGEXMATCH(LOWER(A272),""algo|api|systematic""),""Algo Trading / API Tutorial"",
REGEXMATCH(LOWER(A272),"&amp;"""groww|mtf|margin|pledge""),""Platform / Groww Feature Tutorial"",
REGEXMATCH(LOWER(A272),""candlestick|chart|price action|trendline|rsi|indicator""),""Technical Analysis / Chart Patterns"",
REGEXMATCH(LOWER(A272),""beginner|guide|start trading""),""Begi"&amp;"nner Trading Education"",
REGEXMATCH(LOWER(A272),""interview|journey|talks|wisdom""),""Expert Interview / Trading Insights"",
REGEXMATCH(LOWER(A272),""risk|loss|drawdown|psychology""),""Trading Psychology / Risk Management"",
REGEXMATCH(LOWER(A272),""comm"&amp;"odity|crude|gold|natural gas""),""Commodity Trading Education"",
TRUE,""General Trading Education""
)
"),"Trading Psychology / Risk Management")</f>
        <v>Trading Psychology / Risk Management</v>
      </c>
    </row>
    <row r="273" ht="15.75" customHeight="1">
      <c r="A273" s="1" t="s">
        <v>1369</v>
      </c>
      <c r="B273" s="3" t="s">
        <v>1370</v>
      </c>
      <c r="C273" s="1" t="s">
        <v>1371</v>
      </c>
      <c r="D273" s="1" t="s">
        <v>1372</v>
      </c>
      <c r="E273" s="4">
        <v>45181.0</v>
      </c>
      <c r="F273" s="5">
        <v>0.3993055555555556</v>
      </c>
      <c r="G273" s="1">
        <v>26395.0</v>
      </c>
      <c r="H273" s="1">
        <v>973.0</v>
      </c>
      <c r="I273" s="1">
        <v>44.0</v>
      </c>
      <c r="J273" s="3" t="s">
        <v>1373</v>
      </c>
      <c r="K273" s="6">
        <f t="shared" si="1"/>
        <v>3.853002463</v>
      </c>
      <c r="L273" s="7">
        <f t="shared" si="2"/>
        <v>575</v>
      </c>
      <c r="M273" s="8">
        <f t="shared" si="3"/>
        <v>45180</v>
      </c>
      <c r="N273" s="9" t="str">
        <f>IFERROR(__xludf.DUMMYFUNCTION("IFS(
REGEXMATCH(LOWER(A273),""option|options""),""Options Strategy Education"",
REGEXMATCH(LOWER(A273),""bank nifty|nifty|index""),""Index Options"",
REGEXMATCH(LOWER(A273),""algo|api|systematic""),""Algo Trading / API Tutorial"",
REGEXMATCH(LOWER(A273),"&amp;"""groww|mtf|margin|pledge""),""Platform / Groww Feature Tutorial"",
REGEXMATCH(LOWER(A273),""candlestick|chart|price action|trendline|rsi|indicator""),""Technical Analysis / Chart Patterns"",
REGEXMATCH(LOWER(A273),""beginner|guide|start trading""),""Begi"&amp;"nner Trading Education"",
REGEXMATCH(LOWER(A273),""interview|journey|talks|wisdom""),""Expert Interview / Trading Insights"",
REGEXMATCH(LOWER(A273),""risk|loss|drawdown|psychology""),""Trading Psychology / Risk Management"",
REGEXMATCH(LOWER(A273),""comm"&amp;"odity|crude|gold|natural gas""),""Commodity Trading Education"",
TRUE,""General Trading Education""
)
"),"Technical Analysis / Chart Patterns")</f>
        <v>Technical Analysis / Chart Patterns</v>
      </c>
    </row>
    <row r="274" ht="15.75" customHeight="1">
      <c r="A274" s="1" t="s">
        <v>1374</v>
      </c>
      <c r="B274" s="3" t="s">
        <v>1375</v>
      </c>
      <c r="C274" s="1" t="s">
        <v>1376</v>
      </c>
      <c r="D274" s="1" t="s">
        <v>1377</v>
      </c>
      <c r="E274" s="4">
        <v>45179.0</v>
      </c>
      <c r="F274" s="5">
        <v>0.4673611111111111</v>
      </c>
      <c r="G274" s="1">
        <v>16009.0</v>
      </c>
      <c r="H274" s="1">
        <v>788.0</v>
      </c>
      <c r="I274" s="1">
        <v>22.0</v>
      </c>
      <c r="J274" s="3" t="s">
        <v>1378</v>
      </c>
      <c r="K274" s="6">
        <f t="shared" si="1"/>
        <v>5.059653945</v>
      </c>
      <c r="L274" s="7">
        <f t="shared" si="2"/>
        <v>673</v>
      </c>
      <c r="M274" s="8">
        <f t="shared" si="3"/>
        <v>45173</v>
      </c>
      <c r="N274" s="9" t="str">
        <f>IFERROR(__xludf.DUMMYFUNCTION("IFS(
REGEXMATCH(LOWER(A274),""option|options""),""Options Strategy Education"",
REGEXMATCH(LOWER(A274),""bank nifty|nifty|index""),""Index Options"",
REGEXMATCH(LOWER(A274),""algo|api|systematic""),""Algo Trading / API Tutorial"",
REGEXMATCH(LOWER(A274),"&amp;"""groww|mtf|margin|pledge""),""Platform / Groww Feature Tutorial"",
REGEXMATCH(LOWER(A274),""candlestick|chart|price action|trendline|rsi|indicator""),""Technical Analysis / Chart Patterns"",
REGEXMATCH(LOWER(A274),""beginner|guide|start trading""),""Begi"&amp;"nner Trading Education"",
REGEXMATCH(LOWER(A274),""interview|journey|talks|wisdom""),""Expert Interview / Trading Insights"",
REGEXMATCH(LOWER(A274),""risk|loss|drawdown|psychology""),""Trading Psychology / Risk Management"",
REGEXMATCH(LOWER(A274),""comm"&amp;"odity|crude|gold|natural gas""),""Commodity Trading Education"",
TRUE,""General Trading Education""
)
"),"Technical Analysis / Chart Patterns")</f>
        <v>Technical Analysis / Chart Patterns</v>
      </c>
    </row>
    <row r="275" ht="15.75" customHeight="1">
      <c r="A275" s="1" t="s">
        <v>1379</v>
      </c>
      <c r="B275" s="3" t="s">
        <v>1380</v>
      </c>
      <c r="C275" s="1" t="s">
        <v>1381</v>
      </c>
      <c r="D275" s="1" t="s">
        <v>1382</v>
      </c>
      <c r="E275" s="4">
        <v>45176.0</v>
      </c>
      <c r="F275" s="5">
        <v>0.6229166666666667</v>
      </c>
      <c r="G275" s="1">
        <v>11965.0</v>
      </c>
      <c r="H275" s="1">
        <v>257.0</v>
      </c>
      <c r="I275" s="1">
        <v>18.0</v>
      </c>
      <c r="J275" s="3" t="s">
        <v>1383</v>
      </c>
      <c r="K275" s="6">
        <f t="shared" si="1"/>
        <v>2.298370247</v>
      </c>
      <c r="L275" s="7">
        <f t="shared" si="2"/>
        <v>897</v>
      </c>
      <c r="M275" s="8">
        <f t="shared" si="3"/>
        <v>45173</v>
      </c>
      <c r="N275" s="9" t="str">
        <f>IFERROR(__xludf.DUMMYFUNCTION("IFS(
REGEXMATCH(LOWER(A275),""option|options""),""Options Strategy Education"",
REGEXMATCH(LOWER(A275),""bank nifty|nifty|index""),""Index Options"",
REGEXMATCH(LOWER(A275),""algo|api|systematic""),""Algo Trading / API Tutorial"",
REGEXMATCH(LOWER(A275),"&amp;"""groww|mtf|margin|pledge""),""Platform / Groww Feature Tutorial"",
REGEXMATCH(LOWER(A275),""candlestick|chart|price action|trendline|rsi|indicator""),""Technical Analysis / Chart Patterns"",
REGEXMATCH(LOWER(A275),""beginner|guide|start trading""),""Begi"&amp;"nner Trading Education"",
REGEXMATCH(LOWER(A275),""interview|journey|talks|wisdom""),""Expert Interview / Trading Insights"",
REGEXMATCH(LOWER(A275),""risk|loss|drawdown|psychology""),""Trading Psychology / Risk Management"",
REGEXMATCH(LOWER(A275),""comm"&amp;"odity|crude|gold|natural gas""),""Commodity Trading Education"",
TRUE,""General Trading Education""
)
"),"Algo Trading / API Tutorial")</f>
        <v>Algo Trading / API Tutorial</v>
      </c>
    </row>
    <row r="276" ht="15.75" customHeight="1">
      <c r="A276" s="1" t="s">
        <v>1384</v>
      </c>
      <c r="B276" s="3" t="s">
        <v>1385</v>
      </c>
      <c r="C276" s="1" t="s">
        <v>1386</v>
      </c>
      <c r="D276" s="1" t="s">
        <v>1387</v>
      </c>
      <c r="E276" s="4">
        <v>45174.0</v>
      </c>
      <c r="F276" s="5">
        <v>0.5006944444444444</v>
      </c>
      <c r="G276" s="1">
        <v>5919.0</v>
      </c>
      <c r="H276" s="1">
        <v>340.0</v>
      </c>
      <c r="I276" s="1">
        <v>22.0</v>
      </c>
      <c r="J276" s="3" t="s">
        <v>1388</v>
      </c>
      <c r="K276" s="6">
        <f t="shared" si="1"/>
        <v>6.115897956</v>
      </c>
      <c r="L276" s="7">
        <f t="shared" si="2"/>
        <v>721</v>
      </c>
      <c r="M276" s="8">
        <f t="shared" si="3"/>
        <v>45173</v>
      </c>
      <c r="N276" s="9" t="str">
        <f>IFERROR(__xludf.DUMMYFUNCTION("IFS(
REGEXMATCH(LOWER(A276),""option|options""),""Options Strategy Education"",
REGEXMATCH(LOWER(A276),""bank nifty|nifty|index""),""Index Options"",
REGEXMATCH(LOWER(A276),""algo|api|systematic""),""Algo Trading / API Tutorial"",
REGEXMATCH(LOWER(A276),"&amp;"""groww|mtf|margin|pledge""),""Platform / Groww Feature Tutorial"",
REGEXMATCH(LOWER(A276),""candlestick|chart|price action|trendline|rsi|indicator""),""Technical Analysis / Chart Patterns"",
REGEXMATCH(LOWER(A276),""beginner|guide|start trading""),""Begi"&amp;"nner Trading Education"",
REGEXMATCH(LOWER(A276),""interview|journey|talks|wisdom""),""Expert Interview / Trading Insights"",
REGEXMATCH(LOWER(A276),""risk|loss|drawdown|psychology""),""Trading Psychology / Risk Management"",
REGEXMATCH(LOWER(A276),""comm"&amp;"odity|crude|gold|natural gas""),""Commodity Trading Education"",
TRUE,""General Trading Education""
)
"),"Options Strategy Education")</f>
        <v>Options Strategy Education</v>
      </c>
    </row>
    <row r="277" ht="15.75" customHeight="1">
      <c r="A277" s="1" t="s">
        <v>1389</v>
      </c>
      <c r="B277" s="3" t="s">
        <v>1390</v>
      </c>
      <c r="C277" s="1" t="s">
        <v>1391</v>
      </c>
      <c r="D277" s="1" t="s">
        <v>1392</v>
      </c>
      <c r="E277" s="4">
        <v>45169.0</v>
      </c>
      <c r="F277" s="5">
        <v>0.5958333333333333</v>
      </c>
      <c r="G277" s="1">
        <v>11981.0</v>
      </c>
      <c r="H277" s="1">
        <v>404.0</v>
      </c>
      <c r="I277" s="1">
        <v>11.0</v>
      </c>
      <c r="J277" s="3" t="s">
        <v>1393</v>
      </c>
      <c r="K277" s="6">
        <f t="shared" si="1"/>
        <v>3.463817711</v>
      </c>
      <c r="L277" s="7">
        <f t="shared" si="2"/>
        <v>858</v>
      </c>
      <c r="M277" s="8">
        <f t="shared" si="3"/>
        <v>45166</v>
      </c>
      <c r="N277" s="9" t="str">
        <f>IFERROR(__xludf.DUMMYFUNCTION("IFS(
REGEXMATCH(LOWER(A277),""option|options""),""Options Strategy Education"",
REGEXMATCH(LOWER(A277),""bank nifty|nifty|index""),""Index Options"",
REGEXMATCH(LOWER(A277),""algo|api|systematic""),""Algo Trading / API Tutorial"",
REGEXMATCH(LOWER(A277),"&amp;"""groww|mtf|margin|pledge""),""Platform / Groww Feature Tutorial"",
REGEXMATCH(LOWER(A277),""candlestick|chart|price action|trendline|rsi|indicator""),""Technical Analysis / Chart Patterns"",
REGEXMATCH(LOWER(A277),""beginner|guide|start trading""),""Begi"&amp;"nner Trading Education"",
REGEXMATCH(LOWER(A277),""interview|journey|talks|wisdom""),""Expert Interview / Trading Insights"",
REGEXMATCH(LOWER(A277),""risk|loss|drawdown|psychology""),""Trading Psychology / Risk Management"",
REGEXMATCH(LOWER(A277),""comm"&amp;"odity|crude|gold|natural gas""),""Commodity Trading Education"",
TRUE,""General Trading Education""
)
"),"Options Strategy Education")</f>
        <v>Options Strategy Education</v>
      </c>
    </row>
    <row r="278" ht="15.75" customHeight="1">
      <c r="A278" s="1" t="s">
        <v>1394</v>
      </c>
      <c r="B278" s="3" t="s">
        <v>1395</v>
      </c>
      <c r="C278" s="1" t="s">
        <v>1396</v>
      </c>
      <c r="D278" s="1" t="s">
        <v>1397</v>
      </c>
      <c r="E278" s="4">
        <v>45167.0</v>
      </c>
      <c r="F278" s="5">
        <v>0.5451388888888888</v>
      </c>
      <c r="G278" s="1">
        <v>8848.0</v>
      </c>
      <c r="H278" s="1">
        <v>336.0</v>
      </c>
      <c r="I278" s="1">
        <v>30.0</v>
      </c>
      <c r="J278" s="3" t="s">
        <v>1398</v>
      </c>
      <c r="K278" s="6">
        <f t="shared" si="1"/>
        <v>4.136528029</v>
      </c>
      <c r="L278" s="7">
        <f t="shared" si="2"/>
        <v>785</v>
      </c>
      <c r="M278" s="8">
        <f t="shared" si="3"/>
        <v>45166</v>
      </c>
      <c r="N278" s="9" t="str">
        <f>IFERROR(__xludf.DUMMYFUNCTION("IFS(
REGEXMATCH(LOWER(A278),""option|options""),""Options Strategy Education"",
REGEXMATCH(LOWER(A278),""bank nifty|nifty|index""),""Index Options"",
REGEXMATCH(LOWER(A278),""algo|api|systematic""),""Algo Trading / API Tutorial"",
REGEXMATCH(LOWER(A278),"&amp;"""groww|mtf|margin|pledge""),""Platform / Groww Feature Tutorial"",
REGEXMATCH(LOWER(A278),""candlestick|chart|price action|trendline|rsi|indicator""),""Technical Analysis / Chart Patterns"",
REGEXMATCH(LOWER(A278),""beginner|guide|start trading""),""Begi"&amp;"nner Trading Education"",
REGEXMATCH(LOWER(A278),""interview|journey|talks|wisdom""),""Expert Interview / Trading Insights"",
REGEXMATCH(LOWER(A278),""risk|loss|drawdown|psychology""),""Trading Psychology / Risk Management"",
REGEXMATCH(LOWER(A278),""comm"&amp;"odity|crude|gold|natural gas""),""Commodity Trading Education"",
TRUE,""General Trading Education""
)
"),"Options Strategy Education")</f>
        <v>Options Strategy Education</v>
      </c>
    </row>
    <row r="279" ht="15.75" customHeight="1">
      <c r="A279" s="1" t="s">
        <v>1399</v>
      </c>
      <c r="B279" s="3" t="s">
        <v>1400</v>
      </c>
      <c r="C279" s="1" t="s">
        <v>1401</v>
      </c>
      <c r="D279" s="1" t="s">
        <v>1402</v>
      </c>
      <c r="E279" s="4">
        <v>45165.0</v>
      </c>
      <c r="F279" s="5">
        <v>0.6756944444444445</v>
      </c>
      <c r="G279" s="1">
        <v>29510.0</v>
      </c>
      <c r="H279" s="1">
        <v>1509.0</v>
      </c>
      <c r="I279" s="1">
        <v>69.0</v>
      </c>
      <c r="J279" s="3" t="s">
        <v>1403</v>
      </c>
      <c r="K279" s="6">
        <f t="shared" si="1"/>
        <v>5.347339885</v>
      </c>
      <c r="L279" s="7">
        <f t="shared" si="2"/>
        <v>973</v>
      </c>
      <c r="M279" s="8">
        <f t="shared" si="3"/>
        <v>45159</v>
      </c>
      <c r="N279" s="9" t="str">
        <f>IFERROR(__xludf.DUMMYFUNCTION("IFS(
REGEXMATCH(LOWER(A279),""option|options""),""Options Strategy Education"",
REGEXMATCH(LOWER(A279),""bank nifty|nifty|index""),""Index Options"",
REGEXMATCH(LOWER(A279),""algo|api|systematic""),""Algo Trading / API Tutorial"",
REGEXMATCH(LOWER(A279),"&amp;"""groww|mtf|margin|pledge""),""Platform / Groww Feature Tutorial"",
REGEXMATCH(LOWER(A279),""candlestick|chart|price action|trendline|rsi|indicator""),""Technical Analysis / Chart Patterns"",
REGEXMATCH(LOWER(A279),""beginner|guide|start trading""),""Begi"&amp;"nner Trading Education"",
REGEXMATCH(LOWER(A279),""interview|journey|talks|wisdom""),""Expert Interview / Trading Insights"",
REGEXMATCH(LOWER(A279),""risk|loss|drawdown|psychology""),""Trading Psychology / Risk Management"",
REGEXMATCH(LOWER(A279),""comm"&amp;"odity|crude|gold|natural gas""),""Commodity Trading Education"",
TRUE,""General Trading Education""
)
"),"Technical Analysis / Chart Patterns")</f>
        <v>Technical Analysis / Chart Patterns</v>
      </c>
    </row>
    <row r="280" ht="15.75" customHeight="1">
      <c r="A280" s="1" t="s">
        <v>1404</v>
      </c>
      <c r="B280" s="3" t="s">
        <v>1405</v>
      </c>
      <c r="C280" s="1" t="s">
        <v>1406</v>
      </c>
      <c r="D280" s="1" t="s">
        <v>1407</v>
      </c>
      <c r="E280" s="4">
        <v>45162.0</v>
      </c>
      <c r="F280" s="5">
        <v>0.5465277777777777</v>
      </c>
      <c r="G280" s="1">
        <v>26138.0</v>
      </c>
      <c r="H280" s="1">
        <v>509.0</v>
      </c>
      <c r="I280" s="1">
        <v>32.0</v>
      </c>
      <c r="J280" s="3" t="s">
        <v>1408</v>
      </c>
      <c r="K280" s="6">
        <f t="shared" si="1"/>
        <v>2.069783457</v>
      </c>
      <c r="L280" s="7">
        <f t="shared" si="2"/>
        <v>787</v>
      </c>
      <c r="M280" s="8">
        <f t="shared" si="3"/>
        <v>45159</v>
      </c>
      <c r="N280" s="9" t="str">
        <f>IFERROR(__xludf.DUMMYFUNCTION("IFS(
REGEXMATCH(LOWER(A280),""option|options""),""Options Strategy Education"",
REGEXMATCH(LOWER(A280),""bank nifty|nifty|index""),""Index Options"",
REGEXMATCH(LOWER(A280),""algo|api|systematic""),""Algo Trading / API Tutorial"",
REGEXMATCH(LOWER(A280),"&amp;"""groww|mtf|margin|pledge""),""Platform / Groww Feature Tutorial"",
REGEXMATCH(LOWER(A280),""candlestick|chart|price action|trendline|rsi|indicator""),""Technical Analysis / Chart Patterns"",
REGEXMATCH(LOWER(A280),""beginner|guide|start trading""),""Begi"&amp;"nner Trading Education"",
REGEXMATCH(LOWER(A280),""interview|journey|talks|wisdom""),""Expert Interview / Trading Insights"",
REGEXMATCH(LOWER(A280),""risk|loss|drawdown|psychology""),""Trading Psychology / Risk Management"",
REGEXMATCH(LOWER(A280),""comm"&amp;"odity|crude|gold|natural gas""),""Commodity Trading Education"",
TRUE,""General Trading Education""
)
"),"Trading Psychology / Risk Management")</f>
        <v>Trading Psychology / Risk Management</v>
      </c>
    </row>
    <row r="281" ht="15.75" customHeight="1">
      <c r="A281" s="1" t="s">
        <v>1409</v>
      </c>
      <c r="B281" s="3" t="s">
        <v>1410</v>
      </c>
      <c r="C281" s="1" t="s">
        <v>1411</v>
      </c>
      <c r="D281" s="1" t="s">
        <v>1412</v>
      </c>
      <c r="E281" s="4">
        <v>45160.0</v>
      </c>
      <c r="F281" s="5">
        <v>0.3541666666666667</v>
      </c>
      <c r="G281" s="1">
        <v>6664.0</v>
      </c>
      <c r="H281" s="1">
        <v>330.0</v>
      </c>
      <c r="I281" s="1">
        <v>22.0</v>
      </c>
      <c r="J281" s="3" t="s">
        <v>1413</v>
      </c>
      <c r="K281" s="6">
        <f t="shared" si="1"/>
        <v>5.282112845</v>
      </c>
      <c r="L281" s="7">
        <f t="shared" si="2"/>
        <v>510</v>
      </c>
      <c r="M281" s="8">
        <f t="shared" si="3"/>
        <v>45159</v>
      </c>
      <c r="N281" s="9" t="str">
        <f>IFERROR(__xludf.DUMMYFUNCTION("IFS(
REGEXMATCH(LOWER(A281),""option|options""),""Options Strategy Education"",
REGEXMATCH(LOWER(A281),""bank nifty|nifty|index""),""Index Options"",
REGEXMATCH(LOWER(A281),""algo|api|systematic""),""Algo Trading / API Tutorial"",
REGEXMATCH(LOWER(A281),"&amp;"""groww|mtf|margin|pledge""),""Platform / Groww Feature Tutorial"",
REGEXMATCH(LOWER(A281),""candlestick|chart|price action|trendline|rsi|indicator""),""Technical Analysis / Chart Patterns"",
REGEXMATCH(LOWER(A281),""beginner|guide|start trading""),""Begi"&amp;"nner Trading Education"",
REGEXMATCH(LOWER(A281),""interview|journey|talks|wisdom""),""Expert Interview / Trading Insights"",
REGEXMATCH(LOWER(A281),""risk|loss|drawdown|psychology""),""Trading Psychology / Risk Management"",
REGEXMATCH(LOWER(A281),""comm"&amp;"odity|crude|gold|natural gas""),""Commodity Trading Education"",
TRUE,""General Trading Education""
)
"),"General Trading Education")</f>
        <v>General Trading Education</v>
      </c>
    </row>
    <row r="282" ht="15.75" customHeight="1">
      <c r="A282" s="1" t="s">
        <v>1414</v>
      </c>
      <c r="B282" s="3" t="s">
        <v>1415</v>
      </c>
      <c r="C282" s="1" t="s">
        <v>1416</v>
      </c>
      <c r="D282" s="1" t="s">
        <v>1417</v>
      </c>
      <c r="E282" s="4">
        <v>45158.0</v>
      </c>
      <c r="F282" s="12">
        <v>0.04818287037037037</v>
      </c>
      <c r="G282" s="1">
        <v>36340.0</v>
      </c>
      <c r="H282" s="1">
        <v>877.0</v>
      </c>
      <c r="I282" s="1">
        <v>32.0</v>
      </c>
      <c r="J282" s="3" t="s">
        <v>1418</v>
      </c>
      <c r="K282" s="6">
        <f t="shared" si="1"/>
        <v>2.501375894</v>
      </c>
      <c r="L282" s="7">
        <f t="shared" si="2"/>
        <v>69.38333333</v>
      </c>
      <c r="M282" s="8">
        <f t="shared" si="3"/>
        <v>45152</v>
      </c>
      <c r="N282" s="9" t="str">
        <f>IFERROR(__xludf.DUMMYFUNCTION("IFS(
REGEXMATCH(LOWER(A282),""option|options""),""Options Strategy Education"",
REGEXMATCH(LOWER(A282),""bank nifty|nifty|index""),""Index Options"",
REGEXMATCH(LOWER(A282),""algo|api|systematic""),""Algo Trading / API Tutorial"",
REGEXMATCH(LOWER(A282),"&amp;"""groww|mtf|margin|pledge""),""Platform / Groww Feature Tutorial"",
REGEXMATCH(LOWER(A282),""candlestick|chart|price action|trendline|rsi|indicator""),""Technical Analysis / Chart Patterns"",
REGEXMATCH(LOWER(A282),""beginner|guide|start trading""),""Begi"&amp;"nner Trading Education"",
REGEXMATCH(LOWER(A282),""interview|journey|talks|wisdom""),""Expert Interview / Trading Insights"",
REGEXMATCH(LOWER(A282),""risk|loss|drawdown|psychology""),""Trading Psychology / Risk Management"",
REGEXMATCH(LOWER(A282),""comm"&amp;"odity|crude|gold|natural gas""),""Commodity Trading Education"",
TRUE,""General Trading Education""
)
"),"General Trading Education")</f>
        <v>General Trading Education</v>
      </c>
    </row>
    <row r="283" ht="15.75" customHeight="1">
      <c r="A283" s="1" t="s">
        <v>1419</v>
      </c>
      <c r="B283" s="3" t="s">
        <v>1420</v>
      </c>
      <c r="C283" s="1" t="s">
        <v>1421</v>
      </c>
      <c r="D283" s="1" t="s">
        <v>1422</v>
      </c>
      <c r="E283" s="4">
        <v>45155.0</v>
      </c>
      <c r="F283" s="5">
        <v>0.8951388888888889</v>
      </c>
      <c r="G283" s="1">
        <v>13366.0</v>
      </c>
      <c r="H283" s="1">
        <v>533.0</v>
      </c>
      <c r="I283" s="1">
        <v>27.0</v>
      </c>
      <c r="J283" s="3" t="s">
        <v>1423</v>
      </c>
      <c r="K283" s="6">
        <f t="shared" si="1"/>
        <v>4.189735149</v>
      </c>
      <c r="L283" s="7">
        <f t="shared" si="2"/>
        <v>1289</v>
      </c>
      <c r="M283" s="8">
        <f t="shared" si="3"/>
        <v>45152</v>
      </c>
      <c r="N283" s="9" t="str">
        <f>IFERROR(__xludf.DUMMYFUNCTION("IFS(
REGEXMATCH(LOWER(A283),""option|options""),""Options Strategy Education"",
REGEXMATCH(LOWER(A283),""bank nifty|nifty|index""),""Index Options"",
REGEXMATCH(LOWER(A283),""algo|api|systematic""),""Algo Trading / API Tutorial"",
REGEXMATCH(LOWER(A283),"&amp;"""groww|mtf|margin|pledge""),""Platform / Groww Feature Tutorial"",
REGEXMATCH(LOWER(A283),""candlestick|chart|price action|trendline|rsi|indicator""),""Technical Analysis / Chart Patterns"",
REGEXMATCH(LOWER(A283),""beginner|guide|start trading""),""Begi"&amp;"nner Trading Education"",
REGEXMATCH(LOWER(A283),""interview|journey|talks|wisdom""),""Expert Interview / Trading Insights"",
REGEXMATCH(LOWER(A283),""risk|loss|drawdown|psychology""),""Trading Psychology / Risk Management"",
REGEXMATCH(LOWER(A283),""comm"&amp;"odity|crude|gold|natural gas""),""Commodity Trading Education"",
TRUE,""General Trading Education""
)
"),"Options Strategy Education")</f>
        <v>Options Strategy Education</v>
      </c>
    </row>
    <row r="284" ht="15.75" customHeight="1">
      <c r="A284" s="1" t="s">
        <v>1424</v>
      </c>
      <c r="B284" s="3" t="s">
        <v>1425</v>
      </c>
      <c r="C284" s="1" t="s">
        <v>1426</v>
      </c>
      <c r="D284" s="1" t="s">
        <v>1427</v>
      </c>
      <c r="E284" s="4">
        <v>45153.0</v>
      </c>
      <c r="F284" s="5">
        <v>0.5770833333333333</v>
      </c>
      <c r="G284" s="1">
        <v>78757.0</v>
      </c>
      <c r="H284" s="1">
        <v>1826.0</v>
      </c>
      <c r="I284" s="1">
        <v>25.0</v>
      </c>
      <c r="J284" s="3" t="s">
        <v>1428</v>
      </c>
      <c r="K284" s="6">
        <f t="shared" si="1"/>
        <v>2.350267278</v>
      </c>
      <c r="L284" s="7">
        <f t="shared" si="2"/>
        <v>831</v>
      </c>
      <c r="M284" s="8">
        <f t="shared" si="3"/>
        <v>45152</v>
      </c>
      <c r="N284" s="9" t="str">
        <f>IFERROR(__xludf.DUMMYFUNCTION("IFS(
REGEXMATCH(LOWER(A284),""option|options""),""Options Strategy Education"",
REGEXMATCH(LOWER(A284),""bank nifty|nifty|index""),""Index Options"",
REGEXMATCH(LOWER(A284),""algo|api|systematic""),""Algo Trading / API Tutorial"",
REGEXMATCH(LOWER(A284),"&amp;"""groww|mtf|margin|pledge""),""Platform / Groww Feature Tutorial"",
REGEXMATCH(LOWER(A284),""candlestick|chart|price action|trendline|rsi|indicator""),""Technical Analysis / Chart Patterns"",
REGEXMATCH(LOWER(A284),""beginner|guide|start trading""),""Begi"&amp;"nner Trading Education"",
REGEXMATCH(LOWER(A284),""interview|journey|talks|wisdom""),""Expert Interview / Trading Insights"",
REGEXMATCH(LOWER(A284),""risk|loss|drawdown|psychology""),""Trading Psychology / Risk Management"",
REGEXMATCH(LOWER(A284),""comm"&amp;"odity|crude|gold|natural gas""),""Commodity Trading Education"",
TRUE,""General Trading Education""
)
"),"Technical Analysis / Chart Patterns")</f>
        <v>Technical Analysis / Chart Patterns</v>
      </c>
    </row>
    <row r="285" ht="15.75" customHeight="1">
      <c r="A285" s="1" t="s">
        <v>1429</v>
      </c>
      <c r="B285" s="3" t="s">
        <v>1430</v>
      </c>
      <c r="C285" s="1" t="s">
        <v>1431</v>
      </c>
      <c r="D285" s="1" t="s">
        <v>1432</v>
      </c>
      <c r="E285" s="4">
        <v>45151.0</v>
      </c>
      <c r="F285" s="10">
        <v>1.0638888888888889</v>
      </c>
      <c r="G285" s="1">
        <v>17349.0</v>
      </c>
      <c r="H285" s="1">
        <v>793.0</v>
      </c>
      <c r="I285" s="1">
        <v>53.0</v>
      </c>
      <c r="J285" s="3" t="s">
        <v>1433</v>
      </c>
      <c r="K285" s="6">
        <f t="shared" si="1"/>
        <v>4.87636175</v>
      </c>
      <c r="L285" s="7">
        <f t="shared" si="2"/>
        <v>1532</v>
      </c>
      <c r="M285" s="8">
        <f t="shared" si="3"/>
        <v>45145</v>
      </c>
      <c r="N285" s="9" t="str">
        <f>IFERROR(__xludf.DUMMYFUNCTION("IFS(
REGEXMATCH(LOWER(A285),""option|options""),""Options Strategy Education"",
REGEXMATCH(LOWER(A285),""bank nifty|nifty|index""),""Index Options"",
REGEXMATCH(LOWER(A285),""algo|api|systematic""),""Algo Trading / API Tutorial"",
REGEXMATCH(LOWER(A285),"&amp;"""groww|mtf|margin|pledge""),""Platform / Groww Feature Tutorial"",
REGEXMATCH(LOWER(A285),""candlestick|chart|price action|trendline|rsi|indicator""),""Technical Analysis / Chart Patterns"",
REGEXMATCH(LOWER(A285),""beginner|guide|start trading""),""Begi"&amp;"nner Trading Education"",
REGEXMATCH(LOWER(A285),""interview|journey|talks|wisdom""),""Expert Interview / Trading Insights"",
REGEXMATCH(LOWER(A285),""risk|loss|drawdown|psychology""),""Trading Psychology / Risk Management"",
REGEXMATCH(LOWER(A285),""comm"&amp;"odity|crude|gold|natural gas""),""Commodity Trading Education"",
TRUE,""General Trading Education""
)
"),"Beginner Trading Education")</f>
        <v>Beginner Trading Education</v>
      </c>
    </row>
    <row r="286" ht="15.75" customHeight="1">
      <c r="A286" s="1" t="s">
        <v>1434</v>
      </c>
      <c r="B286" s="3" t="s">
        <v>1435</v>
      </c>
      <c r="C286" s="1" t="s">
        <v>1436</v>
      </c>
      <c r="D286" s="1" t="s">
        <v>1437</v>
      </c>
      <c r="E286" s="4">
        <v>45148.0</v>
      </c>
      <c r="F286" s="5">
        <v>0.5902777777777778</v>
      </c>
      <c r="G286" s="1">
        <v>54477.0</v>
      </c>
      <c r="H286" s="1">
        <v>1966.0</v>
      </c>
      <c r="I286" s="1">
        <v>54.0</v>
      </c>
      <c r="J286" s="3" t="s">
        <v>1438</v>
      </c>
      <c r="K286" s="6">
        <f t="shared" si="1"/>
        <v>3.707986857</v>
      </c>
      <c r="L286" s="7">
        <f t="shared" si="2"/>
        <v>850</v>
      </c>
      <c r="M286" s="8">
        <f t="shared" si="3"/>
        <v>45145</v>
      </c>
      <c r="N286" s="9" t="str">
        <f>IFERROR(__xludf.DUMMYFUNCTION("IFS(
REGEXMATCH(LOWER(A286),""option|options""),""Options Strategy Education"",
REGEXMATCH(LOWER(A286),""bank nifty|nifty|index""),""Index Options"",
REGEXMATCH(LOWER(A286),""algo|api|systematic""),""Algo Trading / API Tutorial"",
REGEXMATCH(LOWER(A286),"&amp;"""groww|mtf|margin|pledge""),""Platform / Groww Feature Tutorial"",
REGEXMATCH(LOWER(A286),""candlestick|chart|price action|trendline|rsi|indicator""),""Technical Analysis / Chart Patterns"",
REGEXMATCH(LOWER(A286),""beginner|guide|start trading""),""Begi"&amp;"nner Trading Education"",
REGEXMATCH(LOWER(A286),""interview|journey|talks|wisdom""),""Expert Interview / Trading Insights"",
REGEXMATCH(LOWER(A286),""risk|loss|drawdown|psychology""),""Trading Psychology / Risk Management"",
REGEXMATCH(LOWER(A286),""comm"&amp;"odity|crude|gold|natural gas""),""Commodity Trading Education"",
TRUE,""General Trading Education""
)
"),"Technical Analysis / Chart Patterns")</f>
        <v>Technical Analysis / Chart Patterns</v>
      </c>
    </row>
    <row r="287" ht="15.75" customHeight="1">
      <c r="A287" s="1" t="s">
        <v>1439</v>
      </c>
      <c r="B287" s="3" t="s">
        <v>1440</v>
      </c>
      <c r="C287" s="1" t="s">
        <v>1441</v>
      </c>
      <c r="D287" s="1" t="s">
        <v>1442</v>
      </c>
      <c r="E287" s="4">
        <v>45146.0</v>
      </c>
      <c r="F287" s="5">
        <v>0.5083333333333333</v>
      </c>
      <c r="G287" s="1">
        <v>72097.0</v>
      </c>
      <c r="H287" s="1">
        <v>1957.0</v>
      </c>
      <c r="I287" s="1">
        <v>64.0</v>
      </c>
      <c r="J287" s="3" t="s">
        <v>1443</v>
      </c>
      <c r="K287" s="6">
        <f t="shared" si="1"/>
        <v>2.803167954</v>
      </c>
      <c r="L287" s="7">
        <f t="shared" si="2"/>
        <v>732</v>
      </c>
      <c r="M287" s="8">
        <f t="shared" si="3"/>
        <v>45145</v>
      </c>
      <c r="N287" s="9" t="str">
        <f>IFERROR(__xludf.DUMMYFUNCTION("IFS(
REGEXMATCH(LOWER(A287),""option|options""),""Options Strategy Education"",
REGEXMATCH(LOWER(A287),""bank nifty|nifty|index""),""Index Options"",
REGEXMATCH(LOWER(A287),""algo|api|systematic""),""Algo Trading / API Tutorial"",
REGEXMATCH(LOWER(A287),"&amp;"""groww|mtf|margin|pledge""),""Platform / Groww Feature Tutorial"",
REGEXMATCH(LOWER(A287),""candlestick|chart|price action|trendline|rsi|indicator""),""Technical Analysis / Chart Patterns"",
REGEXMATCH(LOWER(A287),""beginner|guide|start trading""),""Begi"&amp;"nner Trading Education"",
REGEXMATCH(LOWER(A287),""interview|journey|talks|wisdom""),""Expert Interview / Trading Insights"",
REGEXMATCH(LOWER(A287),""risk|loss|drawdown|psychology""),""Trading Psychology / Risk Management"",
REGEXMATCH(LOWER(A287),""comm"&amp;"odity|crude|gold|natural gas""),""Commodity Trading Education"",
TRUE,""General Trading Education""
)
"),"General Trading Education")</f>
        <v>General Trading Education</v>
      </c>
    </row>
    <row r="288" ht="15.75" customHeight="1">
      <c r="A288" s="1" t="s">
        <v>1444</v>
      </c>
      <c r="B288" s="3" t="s">
        <v>1445</v>
      </c>
      <c r="C288" s="1" t="s">
        <v>1446</v>
      </c>
      <c r="D288" s="1" t="s">
        <v>1447</v>
      </c>
      <c r="E288" s="4">
        <v>45144.0</v>
      </c>
      <c r="F288" s="10">
        <v>2.1729166666666666</v>
      </c>
      <c r="G288" s="1">
        <v>40554.0</v>
      </c>
      <c r="H288" s="1">
        <v>937.0</v>
      </c>
      <c r="I288" s="1">
        <v>52.0</v>
      </c>
      <c r="J288" s="3" t="s">
        <v>1448</v>
      </c>
      <c r="K288" s="6">
        <f t="shared" si="1"/>
        <v>2.438723677</v>
      </c>
      <c r="L288" s="7">
        <f t="shared" si="2"/>
        <v>3129</v>
      </c>
      <c r="M288" s="8">
        <f t="shared" si="3"/>
        <v>45138</v>
      </c>
      <c r="N288" s="9" t="str">
        <f>IFERROR(__xludf.DUMMYFUNCTION("IFS(
REGEXMATCH(LOWER(A288),""option|options""),""Options Strategy Education"",
REGEXMATCH(LOWER(A288),""bank nifty|nifty|index""),""Index Options"",
REGEXMATCH(LOWER(A288),""algo|api|systematic""),""Algo Trading / API Tutorial"",
REGEXMATCH(LOWER(A288),"&amp;"""groww|mtf|margin|pledge""),""Platform / Groww Feature Tutorial"",
REGEXMATCH(LOWER(A288),""candlestick|chart|price action|trendline|rsi|indicator""),""Technical Analysis / Chart Patterns"",
REGEXMATCH(LOWER(A288),""beginner|guide|start trading""),""Begi"&amp;"nner Trading Education"",
REGEXMATCH(LOWER(A288),""interview|journey|talks|wisdom""),""Expert Interview / Trading Insights"",
REGEXMATCH(LOWER(A288),""risk|loss|drawdown|psychology""),""Trading Psychology / Risk Management"",
REGEXMATCH(LOWER(A288),""comm"&amp;"odity|crude|gold|natural gas""),""Commodity Trading Education"",
TRUE,""General Trading Education""
)
"),"Options Strategy Education")</f>
        <v>Options Strategy Education</v>
      </c>
    </row>
    <row r="289" ht="15.75" customHeight="1">
      <c r="A289" s="1" t="s">
        <v>1449</v>
      </c>
      <c r="B289" s="3" t="s">
        <v>1450</v>
      </c>
      <c r="C289" s="1" t="s">
        <v>1451</v>
      </c>
      <c r="D289" s="1" t="s">
        <v>1452</v>
      </c>
      <c r="E289" s="4">
        <v>45141.0</v>
      </c>
      <c r="F289" s="5">
        <v>0.5180555555555556</v>
      </c>
      <c r="G289" s="1">
        <v>31106.0</v>
      </c>
      <c r="H289" s="1">
        <v>1202.0</v>
      </c>
      <c r="I289" s="1">
        <v>23.0</v>
      </c>
      <c r="J289" s="3" t="s">
        <v>1453</v>
      </c>
      <c r="K289" s="6">
        <f t="shared" si="1"/>
        <v>3.938146981</v>
      </c>
      <c r="L289" s="7">
        <f t="shared" si="2"/>
        <v>746</v>
      </c>
      <c r="M289" s="8">
        <f t="shared" si="3"/>
        <v>45138</v>
      </c>
      <c r="N289" s="9" t="str">
        <f>IFERROR(__xludf.DUMMYFUNCTION("IFS(
REGEXMATCH(LOWER(A289),""option|options""),""Options Strategy Education"",
REGEXMATCH(LOWER(A289),""bank nifty|nifty|index""),""Index Options"",
REGEXMATCH(LOWER(A289),""algo|api|systematic""),""Algo Trading / API Tutorial"",
REGEXMATCH(LOWER(A289),"&amp;"""groww|mtf|margin|pledge""),""Platform / Groww Feature Tutorial"",
REGEXMATCH(LOWER(A289),""candlestick|chart|price action|trendline|rsi|indicator""),""Technical Analysis / Chart Patterns"",
REGEXMATCH(LOWER(A289),""beginner|guide|start trading""),""Begi"&amp;"nner Trading Education"",
REGEXMATCH(LOWER(A289),""interview|journey|talks|wisdom""),""Expert Interview / Trading Insights"",
REGEXMATCH(LOWER(A289),""risk|loss|drawdown|psychology""),""Trading Psychology / Risk Management"",
REGEXMATCH(LOWER(A289),""comm"&amp;"odity|crude|gold|natural gas""),""Commodity Trading Education"",
TRUE,""General Trading Education""
)
"),"Technical Analysis / Chart Patterns")</f>
        <v>Technical Analysis / Chart Patterns</v>
      </c>
    </row>
    <row r="290" ht="15.75" customHeight="1">
      <c r="A290" s="1" t="s">
        <v>1454</v>
      </c>
      <c r="B290" s="3" t="s">
        <v>1455</v>
      </c>
      <c r="C290" s="1" t="s">
        <v>1456</v>
      </c>
      <c r="D290" s="1" t="s">
        <v>1457</v>
      </c>
      <c r="E290" s="4">
        <v>45139.0</v>
      </c>
      <c r="F290" s="5">
        <v>0.4354166666666667</v>
      </c>
      <c r="G290" s="1">
        <v>59666.0</v>
      </c>
      <c r="H290" s="1">
        <v>2321.0</v>
      </c>
      <c r="I290" s="1">
        <v>62.0</v>
      </c>
      <c r="J290" s="3" t="s">
        <v>1458</v>
      </c>
      <c r="K290" s="6">
        <f t="shared" si="1"/>
        <v>3.993899373</v>
      </c>
      <c r="L290" s="7">
        <f t="shared" si="2"/>
        <v>627</v>
      </c>
      <c r="M290" s="8">
        <f t="shared" si="3"/>
        <v>45138</v>
      </c>
      <c r="N290" s="9" t="str">
        <f>IFERROR(__xludf.DUMMYFUNCTION("IFS(
REGEXMATCH(LOWER(A290),""option|options""),""Options Strategy Education"",
REGEXMATCH(LOWER(A290),""bank nifty|nifty|index""),""Index Options"",
REGEXMATCH(LOWER(A290),""algo|api|systematic""),""Algo Trading / API Tutorial"",
REGEXMATCH(LOWER(A290),"&amp;"""groww|mtf|margin|pledge""),""Platform / Groww Feature Tutorial"",
REGEXMATCH(LOWER(A290),""candlestick|chart|price action|trendline|rsi|indicator""),""Technical Analysis / Chart Patterns"",
REGEXMATCH(LOWER(A290),""beginner|guide|start trading""),""Begi"&amp;"nner Trading Education"",
REGEXMATCH(LOWER(A290),""interview|journey|talks|wisdom""),""Expert Interview / Trading Insights"",
REGEXMATCH(LOWER(A290),""risk|loss|drawdown|psychology""),""Trading Psychology / Risk Management"",
REGEXMATCH(LOWER(A290),""comm"&amp;"odity|crude|gold|natural gas""),""Commodity Trading Education"",
TRUE,""General Trading Education""
)
"),"General Trading Education")</f>
        <v>General Trading Education</v>
      </c>
    </row>
    <row r="291" ht="15.75" customHeight="1">
      <c r="A291" s="1" t="s">
        <v>1459</v>
      </c>
      <c r="B291" s="3" t="s">
        <v>1460</v>
      </c>
      <c r="C291" s="1" t="s">
        <v>1461</v>
      </c>
      <c r="D291" s="1" t="s">
        <v>1462</v>
      </c>
      <c r="E291" s="4">
        <v>45137.0</v>
      </c>
      <c r="F291" s="5">
        <v>0.5104166666666666</v>
      </c>
      <c r="G291" s="1">
        <v>33433.0</v>
      </c>
      <c r="H291" s="1">
        <v>1204.0</v>
      </c>
      <c r="I291" s="1">
        <v>23.0</v>
      </c>
      <c r="J291" s="3" t="s">
        <v>1463</v>
      </c>
      <c r="K291" s="6">
        <f t="shared" si="1"/>
        <v>3.67002662</v>
      </c>
      <c r="L291" s="7">
        <f t="shared" si="2"/>
        <v>735</v>
      </c>
      <c r="M291" s="8">
        <f t="shared" si="3"/>
        <v>45131</v>
      </c>
      <c r="N291" s="9" t="str">
        <f>IFERROR(__xludf.DUMMYFUNCTION("IFS(
REGEXMATCH(LOWER(A291),""option|options""),""Options Strategy Education"",
REGEXMATCH(LOWER(A291),""bank nifty|nifty|index""),""Index Options"",
REGEXMATCH(LOWER(A291),""algo|api|systematic""),""Algo Trading / API Tutorial"",
REGEXMATCH(LOWER(A291),"&amp;"""groww|mtf|margin|pledge""),""Platform / Groww Feature Tutorial"",
REGEXMATCH(LOWER(A291),""candlestick|chart|price action|trendline|rsi|indicator""),""Technical Analysis / Chart Patterns"",
REGEXMATCH(LOWER(A291),""beginner|guide|start trading""),""Begi"&amp;"nner Trading Education"",
REGEXMATCH(LOWER(A291),""interview|journey|talks|wisdom""),""Expert Interview / Trading Insights"",
REGEXMATCH(LOWER(A291),""risk|loss|drawdown|psychology""),""Trading Psychology / Risk Management"",
REGEXMATCH(LOWER(A291),""comm"&amp;"odity|crude|gold|natural gas""),""Commodity Trading Education"",
TRUE,""General Trading Education""
)
"),"Options Strategy Education")</f>
        <v>Options Strategy Education</v>
      </c>
    </row>
    <row r="292" ht="15.75" customHeight="1">
      <c r="A292" s="1" t="s">
        <v>1464</v>
      </c>
      <c r="B292" s="3" t="s">
        <v>1465</v>
      </c>
      <c r="C292" s="1" t="s">
        <v>1466</v>
      </c>
      <c r="D292" s="1" t="s">
        <v>1467</v>
      </c>
      <c r="E292" s="4">
        <v>45134.0</v>
      </c>
      <c r="F292" s="5">
        <v>0.5840277777777778</v>
      </c>
      <c r="G292" s="1">
        <v>28196.0</v>
      </c>
      <c r="H292" s="1">
        <v>731.0</v>
      </c>
      <c r="I292" s="1">
        <v>9.0</v>
      </c>
      <c r="J292" s="3" t="s">
        <v>1468</v>
      </c>
      <c r="K292" s="6">
        <f t="shared" si="1"/>
        <v>2.624485743</v>
      </c>
      <c r="L292" s="7">
        <f t="shared" si="2"/>
        <v>841</v>
      </c>
      <c r="M292" s="8">
        <f t="shared" si="3"/>
        <v>45131</v>
      </c>
      <c r="N292" s="9" t="str">
        <f>IFERROR(__xludf.DUMMYFUNCTION("IFS(
REGEXMATCH(LOWER(A292),""option|options""),""Options Strategy Education"",
REGEXMATCH(LOWER(A292),""bank nifty|nifty|index""),""Index Options"",
REGEXMATCH(LOWER(A292),""algo|api|systematic""),""Algo Trading / API Tutorial"",
REGEXMATCH(LOWER(A292),"&amp;"""groww|mtf|margin|pledge""),""Platform / Groww Feature Tutorial"",
REGEXMATCH(LOWER(A292),""candlestick|chart|price action|trendline|rsi|indicator""),""Technical Analysis / Chart Patterns"",
REGEXMATCH(LOWER(A292),""beginner|guide|start trading""),""Begi"&amp;"nner Trading Education"",
REGEXMATCH(LOWER(A292),""interview|journey|talks|wisdom""),""Expert Interview / Trading Insights"",
REGEXMATCH(LOWER(A292),""risk|loss|drawdown|psychology""),""Trading Psychology / Risk Management"",
REGEXMATCH(LOWER(A292),""comm"&amp;"odity|crude|gold|natural gas""),""Commodity Trading Education"",
TRUE,""General Trading Education""
)
"),"Options Strategy Education")</f>
        <v>Options Strategy Education</v>
      </c>
    </row>
    <row r="293" ht="15.75" customHeight="1">
      <c r="A293" s="1" t="s">
        <v>1469</v>
      </c>
      <c r="B293" s="3" t="s">
        <v>1470</v>
      </c>
      <c r="C293" s="1" t="s">
        <v>1471</v>
      </c>
      <c r="D293" s="1" t="s">
        <v>1472</v>
      </c>
      <c r="E293" s="4">
        <v>45132.0</v>
      </c>
      <c r="F293" s="5">
        <v>0.4486111111111111</v>
      </c>
      <c r="G293" s="1">
        <v>51950.0</v>
      </c>
      <c r="H293" s="1">
        <v>1422.0</v>
      </c>
      <c r="I293" s="1">
        <v>34.0</v>
      </c>
      <c r="J293" s="3" t="s">
        <v>1473</v>
      </c>
      <c r="K293" s="6">
        <f t="shared" si="1"/>
        <v>2.802694899</v>
      </c>
      <c r="L293" s="7">
        <f t="shared" si="2"/>
        <v>646</v>
      </c>
      <c r="M293" s="8">
        <f t="shared" si="3"/>
        <v>45131</v>
      </c>
      <c r="N293" s="9" t="str">
        <f>IFERROR(__xludf.DUMMYFUNCTION("IFS(
REGEXMATCH(LOWER(A293),""option|options""),""Options Strategy Education"",
REGEXMATCH(LOWER(A293),""bank nifty|nifty|index""),""Index Options"",
REGEXMATCH(LOWER(A293),""algo|api|systematic""),""Algo Trading / API Tutorial"",
REGEXMATCH(LOWER(A293),"&amp;"""groww|mtf|margin|pledge""),""Platform / Groww Feature Tutorial"",
REGEXMATCH(LOWER(A293),""candlestick|chart|price action|trendline|rsi|indicator""),""Technical Analysis / Chart Patterns"",
REGEXMATCH(LOWER(A293),""beginner|guide|start trading""),""Begi"&amp;"nner Trading Education"",
REGEXMATCH(LOWER(A293),""interview|journey|talks|wisdom""),""Expert Interview / Trading Insights"",
REGEXMATCH(LOWER(A293),""risk|loss|drawdown|psychology""),""Trading Psychology / Risk Management"",
REGEXMATCH(LOWER(A293),""comm"&amp;"odity|crude|gold|natural gas""),""Commodity Trading Education"",
TRUE,""General Trading Education""
)
"),"Technical Analysis / Chart Patterns")</f>
        <v>Technical Analysis / Chart Patterns</v>
      </c>
    </row>
    <row r="294" ht="15.75" customHeight="1">
      <c r="A294" s="1" t="s">
        <v>1474</v>
      </c>
      <c r="B294" s="3" t="s">
        <v>1475</v>
      </c>
      <c r="C294" s="1" t="s">
        <v>1476</v>
      </c>
      <c r="D294" s="1" t="s">
        <v>1477</v>
      </c>
      <c r="E294" s="4">
        <v>45130.0</v>
      </c>
      <c r="F294" s="5">
        <v>0.6125</v>
      </c>
      <c r="G294" s="1">
        <v>34201.0</v>
      </c>
      <c r="H294" s="1">
        <v>640.0</v>
      </c>
      <c r="I294" s="1">
        <v>25.0</v>
      </c>
      <c r="J294" s="3" t="s">
        <v>1478</v>
      </c>
      <c r="K294" s="6">
        <f t="shared" si="1"/>
        <v>1.944387591</v>
      </c>
      <c r="L294" s="7">
        <f t="shared" si="2"/>
        <v>882</v>
      </c>
      <c r="M294" s="8">
        <f t="shared" si="3"/>
        <v>45124</v>
      </c>
      <c r="N294" s="9" t="str">
        <f>IFERROR(__xludf.DUMMYFUNCTION("IFS(
REGEXMATCH(LOWER(A294),""option|options""),""Options Strategy Education"",
REGEXMATCH(LOWER(A294),""bank nifty|nifty|index""),""Index Options"",
REGEXMATCH(LOWER(A294),""algo|api|systematic""),""Algo Trading / API Tutorial"",
REGEXMATCH(LOWER(A294),"&amp;"""groww|mtf|margin|pledge""),""Platform / Groww Feature Tutorial"",
REGEXMATCH(LOWER(A294),""candlestick|chart|price action|trendline|rsi|indicator""),""Technical Analysis / Chart Patterns"",
REGEXMATCH(LOWER(A294),""beginner|guide|start trading""),""Begi"&amp;"nner Trading Education"",
REGEXMATCH(LOWER(A294),""interview|journey|talks|wisdom""),""Expert Interview / Trading Insights"",
REGEXMATCH(LOWER(A294),""risk|loss|drawdown|psychology""),""Trading Psychology / Risk Management"",
REGEXMATCH(LOWER(A294),""comm"&amp;"odity|crude|gold|natural gas""),""Commodity Trading Education"",
TRUE,""General Trading Education""
)
"),"Options Strategy Education")</f>
        <v>Options Strategy Education</v>
      </c>
    </row>
    <row r="295" ht="15.75" customHeight="1">
      <c r="A295" s="1" t="s">
        <v>1479</v>
      </c>
      <c r="B295" s="3" t="s">
        <v>1480</v>
      </c>
      <c r="C295" s="1" t="s">
        <v>1481</v>
      </c>
      <c r="D295" s="1" t="s">
        <v>1482</v>
      </c>
      <c r="E295" s="4">
        <v>45127.0</v>
      </c>
      <c r="F295" s="5">
        <v>0.7222222222222222</v>
      </c>
      <c r="G295" s="1">
        <v>57877.0</v>
      </c>
      <c r="H295" s="1">
        <v>2073.0</v>
      </c>
      <c r="I295" s="1">
        <v>26.0</v>
      </c>
      <c r="J295" s="3" t="s">
        <v>1483</v>
      </c>
      <c r="K295" s="6">
        <f t="shared" si="1"/>
        <v>3.62665653</v>
      </c>
      <c r="L295" s="7">
        <f t="shared" si="2"/>
        <v>1040</v>
      </c>
      <c r="M295" s="8">
        <f t="shared" si="3"/>
        <v>45124</v>
      </c>
      <c r="N295" s="9" t="str">
        <f>IFERROR(__xludf.DUMMYFUNCTION("IFS(
REGEXMATCH(LOWER(A295),""option|options""),""Options Strategy Education"",
REGEXMATCH(LOWER(A295),""bank nifty|nifty|index""),""Index Options"",
REGEXMATCH(LOWER(A295),""algo|api|systematic""),""Algo Trading / API Tutorial"",
REGEXMATCH(LOWER(A295),"&amp;"""groww|mtf|margin|pledge""),""Platform / Groww Feature Tutorial"",
REGEXMATCH(LOWER(A295),""candlestick|chart|price action|trendline|rsi|indicator""),""Technical Analysis / Chart Patterns"",
REGEXMATCH(LOWER(A295),""beginner|guide|start trading""),""Begi"&amp;"nner Trading Education"",
REGEXMATCH(LOWER(A295),""interview|journey|talks|wisdom""),""Expert Interview / Trading Insights"",
REGEXMATCH(LOWER(A295),""risk|loss|drawdown|psychology""),""Trading Psychology / Risk Management"",
REGEXMATCH(LOWER(A295),""comm"&amp;"odity|crude|gold|natural gas""),""Commodity Trading Education"",
TRUE,""General Trading Education""
)
"),"General Trading Education")</f>
        <v>General Trading Education</v>
      </c>
    </row>
    <row r="296" ht="15.75" customHeight="1">
      <c r="A296" s="1" t="s">
        <v>1484</v>
      </c>
      <c r="B296" s="3" t="s">
        <v>1485</v>
      </c>
      <c r="C296" s="1" t="s">
        <v>1486</v>
      </c>
      <c r="D296" s="1" t="s">
        <v>1487</v>
      </c>
      <c r="E296" s="4">
        <v>45125.0</v>
      </c>
      <c r="F296" s="5">
        <v>0.7604166666666666</v>
      </c>
      <c r="G296" s="1">
        <v>59310.0</v>
      </c>
      <c r="H296" s="1">
        <v>2499.0</v>
      </c>
      <c r="I296" s="1">
        <v>64.0</v>
      </c>
      <c r="J296" s="3" t="s">
        <v>1488</v>
      </c>
      <c r="K296" s="6">
        <f t="shared" si="1"/>
        <v>4.321362334</v>
      </c>
      <c r="L296" s="7">
        <f t="shared" si="2"/>
        <v>1095</v>
      </c>
      <c r="M296" s="8">
        <f t="shared" si="3"/>
        <v>45124</v>
      </c>
      <c r="N296" s="9" t="str">
        <f>IFERROR(__xludf.DUMMYFUNCTION("IFS(
REGEXMATCH(LOWER(A296),""option|options""),""Options Strategy Education"",
REGEXMATCH(LOWER(A296),""bank nifty|nifty|index""),""Index Options"",
REGEXMATCH(LOWER(A296),""algo|api|systematic""),""Algo Trading / API Tutorial"",
REGEXMATCH(LOWER(A296),"&amp;"""groww|mtf|margin|pledge""),""Platform / Groww Feature Tutorial"",
REGEXMATCH(LOWER(A296),""candlestick|chart|price action|trendline|rsi|indicator""),""Technical Analysis / Chart Patterns"",
REGEXMATCH(LOWER(A296),""beginner|guide|start trading""),""Begi"&amp;"nner Trading Education"",
REGEXMATCH(LOWER(A296),""interview|journey|talks|wisdom""),""Expert Interview / Trading Insights"",
REGEXMATCH(LOWER(A296),""risk|loss|drawdown|psychology""),""Trading Psychology / Risk Management"",
REGEXMATCH(LOWER(A296),""comm"&amp;"odity|crude|gold|natural gas""),""Commodity Trading Education"",
TRUE,""General Trading Education""
)
"),"Options Strategy Education")</f>
        <v>Options Strategy Education</v>
      </c>
    </row>
    <row r="297" ht="15.75" customHeight="1">
      <c r="A297" s="1" t="s">
        <v>1489</v>
      </c>
      <c r="B297" s="3" t="s">
        <v>1490</v>
      </c>
      <c r="C297" s="1" t="s">
        <v>1491</v>
      </c>
      <c r="D297" s="1" t="s">
        <v>1492</v>
      </c>
      <c r="E297" s="4">
        <v>45123.0</v>
      </c>
      <c r="F297" s="5">
        <v>0.35833333333333334</v>
      </c>
      <c r="G297" s="1">
        <v>2498.0</v>
      </c>
      <c r="H297" s="1">
        <v>147.0</v>
      </c>
      <c r="I297" s="1">
        <v>8.0</v>
      </c>
      <c r="J297" s="3" t="s">
        <v>1493</v>
      </c>
      <c r="K297" s="6">
        <f t="shared" si="1"/>
        <v>6.204963971</v>
      </c>
      <c r="L297" s="7">
        <f t="shared" si="2"/>
        <v>516</v>
      </c>
      <c r="M297" s="8">
        <f t="shared" si="3"/>
        <v>45117</v>
      </c>
      <c r="N297" s="9" t="str">
        <f>IFERROR(__xludf.DUMMYFUNCTION("IFS(
REGEXMATCH(LOWER(A297),""option|options""),""Options Strategy Education"",
REGEXMATCH(LOWER(A297),""bank nifty|nifty|index""),""Index Options"",
REGEXMATCH(LOWER(A297),""algo|api|systematic""),""Algo Trading / API Tutorial"",
REGEXMATCH(LOWER(A297),"&amp;"""groww|mtf|margin|pledge""),""Platform / Groww Feature Tutorial"",
REGEXMATCH(LOWER(A297),""candlestick|chart|price action|trendline|rsi|indicator""),""Technical Analysis / Chart Patterns"",
REGEXMATCH(LOWER(A297),""beginner|guide|start trading""),""Begi"&amp;"nner Trading Education"",
REGEXMATCH(LOWER(A297),""interview|journey|talks|wisdom""),""Expert Interview / Trading Insights"",
REGEXMATCH(LOWER(A297),""risk|loss|drawdown|psychology""),""Trading Psychology / Risk Management"",
REGEXMATCH(LOWER(A297),""comm"&amp;"odity|crude|gold|natural gas""),""Commodity Trading Education"",
TRUE,""General Trading Education""
)
"),"General Trading Education")</f>
        <v>General Trading Education</v>
      </c>
    </row>
    <row r="298" ht="15.75" customHeight="1">
      <c r="A298" s="1" t="s">
        <v>1494</v>
      </c>
      <c r="B298" s="3" t="s">
        <v>1495</v>
      </c>
      <c r="C298" s="1" t="s">
        <v>1496</v>
      </c>
      <c r="D298" s="1" t="s">
        <v>1497</v>
      </c>
      <c r="E298" s="4">
        <v>45120.0</v>
      </c>
      <c r="F298" s="5">
        <v>0.43472222222222223</v>
      </c>
      <c r="G298" s="1">
        <v>11851.0</v>
      </c>
      <c r="H298" s="1">
        <v>439.0</v>
      </c>
      <c r="I298" s="1">
        <v>32.0</v>
      </c>
      <c r="J298" s="3" t="s">
        <v>1498</v>
      </c>
      <c r="K298" s="6">
        <f t="shared" si="1"/>
        <v>3.974348156</v>
      </c>
      <c r="L298" s="7">
        <f t="shared" si="2"/>
        <v>626</v>
      </c>
      <c r="M298" s="8">
        <f t="shared" si="3"/>
        <v>45117</v>
      </c>
      <c r="N298" s="9" t="str">
        <f>IFERROR(__xludf.DUMMYFUNCTION("IFS(
REGEXMATCH(LOWER(A298),""option|options""),""Options Strategy Education"",
REGEXMATCH(LOWER(A298),""bank nifty|nifty|index""),""Index Options"",
REGEXMATCH(LOWER(A298),""algo|api|systematic""),""Algo Trading / API Tutorial"",
REGEXMATCH(LOWER(A298),"&amp;"""groww|mtf|margin|pledge""),""Platform / Groww Feature Tutorial"",
REGEXMATCH(LOWER(A298),""candlestick|chart|price action|trendline|rsi|indicator""),""Technical Analysis / Chart Patterns"",
REGEXMATCH(LOWER(A298),""beginner|guide|start trading""),""Begi"&amp;"nner Trading Education"",
REGEXMATCH(LOWER(A298),""interview|journey|talks|wisdom""),""Expert Interview / Trading Insights"",
REGEXMATCH(LOWER(A298),""risk|loss|drawdown|psychology""),""Trading Psychology / Risk Management"",
REGEXMATCH(LOWER(A298),""comm"&amp;"odity|crude|gold|natural gas""),""Commodity Trading Education"",
TRUE,""General Trading Education""
)
"),"General Trading Education")</f>
        <v>General Trading Education</v>
      </c>
    </row>
    <row r="299" ht="15.75" customHeight="1">
      <c r="A299" s="1" t="s">
        <v>1499</v>
      </c>
      <c r="B299" s="3" t="s">
        <v>1500</v>
      </c>
      <c r="C299" s="1" t="s">
        <v>1501</v>
      </c>
      <c r="D299" s="1" t="s">
        <v>1502</v>
      </c>
      <c r="E299" s="4">
        <v>45118.0</v>
      </c>
      <c r="F299" s="5">
        <v>0.7715277777777778</v>
      </c>
      <c r="G299" s="1">
        <v>25908.0</v>
      </c>
      <c r="H299" s="1">
        <v>695.0</v>
      </c>
      <c r="I299" s="1">
        <v>23.0</v>
      </c>
      <c r="J299" s="3" t="s">
        <v>1503</v>
      </c>
      <c r="K299" s="6">
        <f t="shared" si="1"/>
        <v>2.771344758</v>
      </c>
      <c r="L299" s="7">
        <f t="shared" si="2"/>
        <v>1111</v>
      </c>
      <c r="M299" s="8">
        <f t="shared" si="3"/>
        <v>45117</v>
      </c>
      <c r="N299" s="9" t="str">
        <f>IFERROR(__xludf.DUMMYFUNCTION("IFS(
REGEXMATCH(LOWER(A299),""option|options""),""Options Strategy Education"",
REGEXMATCH(LOWER(A299),""bank nifty|nifty|index""),""Index Options"",
REGEXMATCH(LOWER(A299),""algo|api|systematic""),""Algo Trading / API Tutorial"",
REGEXMATCH(LOWER(A299),"&amp;"""groww|mtf|margin|pledge""),""Platform / Groww Feature Tutorial"",
REGEXMATCH(LOWER(A299),""candlestick|chart|price action|trendline|rsi|indicator""),""Technical Analysis / Chart Patterns"",
REGEXMATCH(LOWER(A299),""beginner|guide|start trading""),""Begi"&amp;"nner Trading Education"",
REGEXMATCH(LOWER(A299),""interview|journey|talks|wisdom""),""Expert Interview / Trading Insights"",
REGEXMATCH(LOWER(A299),""risk|loss|drawdown|psychology""),""Trading Psychology / Risk Management"",
REGEXMATCH(LOWER(A299),""comm"&amp;"odity|crude|gold|natural gas""),""Commodity Trading Education"",
TRUE,""General Trading Education""
)
"),"Options Strategy Education")</f>
        <v>Options Strategy Education</v>
      </c>
    </row>
    <row r="300" ht="15.75" customHeight="1">
      <c r="A300" s="1" t="s">
        <v>1504</v>
      </c>
      <c r="B300" s="3" t="s">
        <v>1505</v>
      </c>
      <c r="C300" s="1" t="s">
        <v>1506</v>
      </c>
      <c r="D300" s="1" t="s">
        <v>1507</v>
      </c>
      <c r="E300" s="4">
        <v>45116.0</v>
      </c>
      <c r="F300" s="5">
        <v>0.37777777777777777</v>
      </c>
      <c r="G300" s="1">
        <v>19600.0</v>
      </c>
      <c r="H300" s="1">
        <v>568.0</v>
      </c>
      <c r="I300" s="1">
        <v>19.0</v>
      </c>
      <c r="J300" s="3" t="s">
        <v>1508</v>
      </c>
      <c r="K300" s="6">
        <f t="shared" si="1"/>
        <v>2.994897959</v>
      </c>
      <c r="L300" s="7">
        <f t="shared" si="2"/>
        <v>544</v>
      </c>
      <c r="M300" s="8">
        <f t="shared" si="3"/>
        <v>45110</v>
      </c>
      <c r="N300" s="9" t="str">
        <f>IFERROR(__xludf.DUMMYFUNCTION("IFS(
REGEXMATCH(LOWER(A300),""option|options""),""Options Strategy Education"",
REGEXMATCH(LOWER(A300),""bank nifty|nifty|index""),""Index Options"",
REGEXMATCH(LOWER(A300),""algo|api|systematic""),""Algo Trading / API Tutorial"",
REGEXMATCH(LOWER(A300),"&amp;"""groww|mtf|margin|pledge""),""Platform / Groww Feature Tutorial"",
REGEXMATCH(LOWER(A300),""candlestick|chart|price action|trendline|rsi|indicator""),""Technical Analysis / Chart Patterns"",
REGEXMATCH(LOWER(A300),""beginner|guide|start trading""),""Begi"&amp;"nner Trading Education"",
REGEXMATCH(LOWER(A300),""interview|journey|talks|wisdom""),""Expert Interview / Trading Insights"",
REGEXMATCH(LOWER(A300),""risk|loss|drawdown|psychology""),""Trading Psychology / Risk Management"",
REGEXMATCH(LOWER(A300),""comm"&amp;"odity|crude|gold|natural gas""),""Commodity Trading Education"",
TRUE,""General Trading Education""
)
"),"Beginner Trading Education")</f>
        <v>Beginner Trading Education</v>
      </c>
    </row>
    <row r="301" ht="15.75" customHeight="1">
      <c r="A301" s="1" t="s">
        <v>1509</v>
      </c>
      <c r="B301" s="3" t="s">
        <v>1510</v>
      </c>
      <c r="C301" s="1" t="s">
        <v>1511</v>
      </c>
      <c r="D301" s="1" t="s">
        <v>1512</v>
      </c>
      <c r="E301" s="4">
        <v>45113.0</v>
      </c>
      <c r="F301" s="5">
        <v>0.6708333333333333</v>
      </c>
      <c r="G301" s="1">
        <v>68069.0</v>
      </c>
      <c r="H301" s="1">
        <v>2335.0</v>
      </c>
      <c r="I301" s="1">
        <v>93.0</v>
      </c>
      <c r="J301" s="3" t="s">
        <v>1513</v>
      </c>
      <c r="K301" s="6">
        <f t="shared" si="1"/>
        <v>3.566968811</v>
      </c>
      <c r="L301" s="7">
        <f t="shared" si="2"/>
        <v>966</v>
      </c>
      <c r="M301" s="8">
        <f t="shared" si="3"/>
        <v>45110</v>
      </c>
      <c r="N301" s="9" t="str">
        <f>IFERROR(__xludf.DUMMYFUNCTION("IFS(
REGEXMATCH(LOWER(A301),""option|options""),""Options Strategy Education"",
REGEXMATCH(LOWER(A301),""bank nifty|nifty|index""),""Index Options"",
REGEXMATCH(LOWER(A301),""algo|api|systematic""),""Algo Trading / API Tutorial"",
REGEXMATCH(LOWER(A301),"&amp;"""groww|mtf|margin|pledge""),""Platform / Groww Feature Tutorial"",
REGEXMATCH(LOWER(A301),""candlestick|chart|price action|trendline|rsi|indicator""),""Technical Analysis / Chart Patterns"",
REGEXMATCH(LOWER(A301),""beginner|guide|start trading""),""Begi"&amp;"nner Trading Education"",
REGEXMATCH(LOWER(A301),""interview|journey|talks|wisdom""),""Expert Interview / Trading Insights"",
REGEXMATCH(LOWER(A301),""risk|loss|drawdown|psychology""),""Trading Psychology / Risk Management"",
REGEXMATCH(LOWER(A301),""comm"&amp;"odity|crude|gold|natural gas""),""Commodity Trading Education"",
TRUE,""General Trading Education""
)
"),"Technical Analysis / Chart Patterns")</f>
        <v>Technical Analysis / Chart Patterns</v>
      </c>
    </row>
    <row r="302" ht="15.75" customHeight="1">
      <c r="A302" s="1" t="s">
        <v>1514</v>
      </c>
      <c r="B302" s="3" t="s">
        <v>1515</v>
      </c>
      <c r="C302" s="1" t="s">
        <v>1516</v>
      </c>
      <c r="D302" s="1" t="s">
        <v>1517</v>
      </c>
      <c r="E302" s="4">
        <v>45111.0</v>
      </c>
      <c r="F302" s="5">
        <v>0.4951388888888889</v>
      </c>
      <c r="G302" s="1">
        <v>33354.0</v>
      </c>
      <c r="H302" s="1">
        <v>1100.0</v>
      </c>
      <c r="I302" s="1">
        <v>38.0</v>
      </c>
      <c r="J302" s="3" t="s">
        <v>1518</v>
      </c>
      <c r="K302" s="6">
        <f t="shared" si="1"/>
        <v>3.411884632</v>
      </c>
      <c r="L302" s="7">
        <f t="shared" si="2"/>
        <v>713</v>
      </c>
      <c r="M302" s="8">
        <f t="shared" si="3"/>
        <v>45110</v>
      </c>
      <c r="N302" s="9" t="str">
        <f>IFERROR(__xludf.DUMMYFUNCTION("IFS(
REGEXMATCH(LOWER(A302),""option|options""),""Options Strategy Education"",
REGEXMATCH(LOWER(A302),""bank nifty|nifty|index""),""Index Options"",
REGEXMATCH(LOWER(A302),""algo|api|systematic""),""Algo Trading / API Tutorial"",
REGEXMATCH(LOWER(A302),"&amp;"""groww|mtf|margin|pledge""),""Platform / Groww Feature Tutorial"",
REGEXMATCH(LOWER(A302),""candlestick|chart|price action|trendline|rsi|indicator""),""Technical Analysis / Chart Patterns"",
REGEXMATCH(LOWER(A302),""beginner|guide|start trading""),""Begi"&amp;"nner Trading Education"",
REGEXMATCH(LOWER(A302),""interview|journey|talks|wisdom""),""Expert Interview / Trading Insights"",
REGEXMATCH(LOWER(A302),""risk|loss|drawdown|psychology""),""Trading Psychology / Risk Management"",
REGEXMATCH(LOWER(A302),""comm"&amp;"odity|crude|gold|natural gas""),""Commodity Trading Education"",
TRUE,""General Trading Education""
)
"),"Platform / Groww Feature Tutorial")</f>
        <v>Platform / Groww Feature Tutorial</v>
      </c>
    </row>
    <row r="303" ht="15.75" customHeight="1">
      <c r="A303" s="1" t="s">
        <v>1519</v>
      </c>
      <c r="B303" s="3" t="s">
        <v>1520</v>
      </c>
      <c r="C303" s="1" t="s">
        <v>1521</v>
      </c>
      <c r="D303" s="1" t="s">
        <v>1522</v>
      </c>
      <c r="E303" s="4">
        <v>45109.0</v>
      </c>
      <c r="F303" s="5">
        <v>0.5361111111111111</v>
      </c>
      <c r="G303" s="1">
        <v>6202.0</v>
      </c>
      <c r="H303" s="1">
        <v>271.0</v>
      </c>
      <c r="I303" s="1">
        <v>23.0</v>
      </c>
      <c r="J303" s="3" t="s">
        <v>1523</v>
      </c>
      <c r="K303" s="6">
        <f t="shared" si="1"/>
        <v>4.740406321</v>
      </c>
      <c r="L303" s="7">
        <f t="shared" si="2"/>
        <v>772</v>
      </c>
      <c r="M303" s="8">
        <f t="shared" si="3"/>
        <v>45103</v>
      </c>
      <c r="N303" s="9" t="str">
        <f>IFERROR(__xludf.DUMMYFUNCTION("IFS(
REGEXMATCH(LOWER(A303),""option|options""),""Options Strategy Education"",
REGEXMATCH(LOWER(A303),""bank nifty|nifty|index""),""Index Options"",
REGEXMATCH(LOWER(A303),""algo|api|systematic""),""Algo Trading / API Tutorial"",
REGEXMATCH(LOWER(A303),"&amp;"""groww|mtf|margin|pledge""),""Platform / Groww Feature Tutorial"",
REGEXMATCH(LOWER(A303),""candlestick|chart|price action|trendline|rsi|indicator""),""Technical Analysis / Chart Patterns"",
REGEXMATCH(LOWER(A303),""beginner|guide|start trading""),""Begi"&amp;"nner Trading Education"",
REGEXMATCH(LOWER(A303),""interview|journey|talks|wisdom""),""Expert Interview / Trading Insights"",
REGEXMATCH(LOWER(A303),""risk|loss|drawdown|psychology""),""Trading Psychology / Risk Management"",
REGEXMATCH(LOWER(A303),""comm"&amp;"odity|crude|gold|natural gas""),""Commodity Trading Education"",
TRUE,""General Trading Education""
)
"),"Platform / Groww Feature Tutorial")</f>
        <v>Platform / Groww Feature Tutorial</v>
      </c>
    </row>
    <row r="304" ht="15.75" customHeight="1">
      <c r="A304" s="1" t="s">
        <v>1524</v>
      </c>
      <c r="B304" s="3" t="s">
        <v>1525</v>
      </c>
      <c r="C304" s="1" t="s">
        <v>1526</v>
      </c>
      <c r="D304" s="1" t="s">
        <v>1527</v>
      </c>
      <c r="E304" s="4">
        <v>45106.0</v>
      </c>
      <c r="F304" s="5">
        <v>0.7902777777777777</v>
      </c>
      <c r="G304" s="1">
        <v>40758.0</v>
      </c>
      <c r="H304" s="1">
        <v>1549.0</v>
      </c>
      <c r="I304" s="1">
        <v>37.0</v>
      </c>
      <c r="J304" s="3" t="s">
        <v>1528</v>
      </c>
      <c r="K304" s="6">
        <f t="shared" si="1"/>
        <v>3.891260611</v>
      </c>
      <c r="L304" s="7">
        <f t="shared" si="2"/>
        <v>1138</v>
      </c>
      <c r="M304" s="8">
        <f t="shared" si="3"/>
        <v>45103</v>
      </c>
      <c r="N304" s="9" t="str">
        <f>IFERROR(__xludf.DUMMYFUNCTION("IFS(
REGEXMATCH(LOWER(A304),""option|options""),""Options Strategy Education"",
REGEXMATCH(LOWER(A304),""bank nifty|nifty|index""),""Index Options"",
REGEXMATCH(LOWER(A304),""algo|api|systematic""),""Algo Trading / API Tutorial"",
REGEXMATCH(LOWER(A304),"&amp;"""groww|mtf|margin|pledge""),""Platform / Groww Feature Tutorial"",
REGEXMATCH(LOWER(A304),""candlestick|chart|price action|trendline|rsi|indicator""),""Technical Analysis / Chart Patterns"",
REGEXMATCH(LOWER(A304),""beginner|guide|start trading""),""Begi"&amp;"nner Trading Education"",
REGEXMATCH(LOWER(A304),""interview|journey|talks|wisdom""),""Expert Interview / Trading Insights"",
REGEXMATCH(LOWER(A304),""risk|loss|drawdown|psychology""),""Trading Psychology / Risk Management"",
REGEXMATCH(LOWER(A304),""comm"&amp;"odity|crude|gold|natural gas""),""Commodity Trading Education"",
TRUE,""General Trading Education""
)
"),"Platform / Groww Feature Tutorial")</f>
        <v>Platform / Groww Feature Tutorial</v>
      </c>
    </row>
    <row r="305" ht="15.75" customHeight="1">
      <c r="A305" s="1" t="s">
        <v>1529</v>
      </c>
      <c r="B305" s="3" t="s">
        <v>1530</v>
      </c>
      <c r="C305" s="1" t="s">
        <v>1531</v>
      </c>
      <c r="D305" s="1" t="s">
        <v>1532</v>
      </c>
      <c r="E305" s="4">
        <v>45104.0</v>
      </c>
      <c r="F305" s="5">
        <v>0.40208333333333335</v>
      </c>
      <c r="G305" s="1">
        <v>14502.0</v>
      </c>
      <c r="H305" s="1">
        <v>407.0</v>
      </c>
      <c r="I305" s="1">
        <v>32.0</v>
      </c>
      <c r="J305" s="3" t="s">
        <v>1533</v>
      </c>
      <c r="K305" s="6">
        <f t="shared" si="1"/>
        <v>3.027168666</v>
      </c>
      <c r="L305" s="7">
        <f t="shared" si="2"/>
        <v>579</v>
      </c>
      <c r="M305" s="8">
        <f t="shared" si="3"/>
        <v>45103</v>
      </c>
      <c r="N305" s="9" t="str">
        <f>IFERROR(__xludf.DUMMYFUNCTION("IFS(
REGEXMATCH(LOWER(A305),""option|options""),""Options Strategy Education"",
REGEXMATCH(LOWER(A305),""bank nifty|nifty|index""),""Index Options"",
REGEXMATCH(LOWER(A305),""algo|api|systematic""),""Algo Trading / API Tutorial"",
REGEXMATCH(LOWER(A305),"&amp;"""groww|mtf|margin|pledge""),""Platform / Groww Feature Tutorial"",
REGEXMATCH(LOWER(A305),""candlestick|chart|price action|trendline|rsi|indicator""),""Technical Analysis / Chart Patterns"",
REGEXMATCH(LOWER(A305),""beginner|guide|start trading""),""Begi"&amp;"nner Trading Education"",
REGEXMATCH(LOWER(A305),""interview|journey|talks|wisdom""),""Expert Interview / Trading Insights"",
REGEXMATCH(LOWER(A305),""risk|loss|drawdown|psychology""),""Trading Psychology / Risk Management"",
REGEXMATCH(LOWER(A305),""comm"&amp;"odity|crude|gold|natural gas""),""Commodity Trading Education"",
TRUE,""General Trading Education""
)
"),"Platform / Groww Feature Tutorial")</f>
        <v>Platform / Groww Feature Tutorial</v>
      </c>
    </row>
    <row r="306" ht="15.75" customHeight="1">
      <c r="A306" s="1" t="s">
        <v>1534</v>
      </c>
      <c r="B306" s="3" t="s">
        <v>1535</v>
      </c>
      <c r="C306" s="1" t="s">
        <v>1536</v>
      </c>
      <c r="D306" s="1" t="s">
        <v>1537</v>
      </c>
      <c r="E306" s="4">
        <v>45102.0</v>
      </c>
      <c r="F306" s="5">
        <v>0.44583333333333336</v>
      </c>
      <c r="G306" s="1">
        <v>3380.0</v>
      </c>
      <c r="H306" s="1">
        <v>140.0</v>
      </c>
      <c r="I306" s="1">
        <v>11.0</v>
      </c>
      <c r="J306" s="3" t="s">
        <v>1538</v>
      </c>
      <c r="K306" s="6">
        <f t="shared" si="1"/>
        <v>4.467455621</v>
      </c>
      <c r="L306" s="7">
        <f t="shared" si="2"/>
        <v>642</v>
      </c>
      <c r="M306" s="8">
        <f t="shared" si="3"/>
        <v>45096</v>
      </c>
      <c r="N306" s="9" t="str">
        <f>IFERROR(__xludf.DUMMYFUNCTION("IFS(
REGEXMATCH(LOWER(A306),""option|options""),""Options Strategy Education"",
REGEXMATCH(LOWER(A306),""bank nifty|nifty|index""),""Index Options"",
REGEXMATCH(LOWER(A306),""algo|api|systematic""),""Algo Trading / API Tutorial"",
REGEXMATCH(LOWER(A306),"&amp;"""groww|mtf|margin|pledge""),""Platform / Groww Feature Tutorial"",
REGEXMATCH(LOWER(A306),""candlestick|chart|price action|trendline|rsi|indicator""),""Technical Analysis / Chart Patterns"",
REGEXMATCH(LOWER(A306),""beginner|guide|start trading""),""Begi"&amp;"nner Trading Education"",
REGEXMATCH(LOWER(A306),""interview|journey|talks|wisdom""),""Expert Interview / Trading Insights"",
REGEXMATCH(LOWER(A306),""risk|loss|drawdown|psychology""),""Trading Psychology / Risk Management"",
REGEXMATCH(LOWER(A306),""comm"&amp;"odity|crude|gold|natural gas""),""Commodity Trading Education"",
TRUE,""General Trading Education""
)
"),"Index Options")</f>
        <v>Index Options</v>
      </c>
    </row>
    <row r="307" ht="15.75" customHeight="1">
      <c r="A307" s="1" t="s">
        <v>1539</v>
      </c>
      <c r="B307" s="3" t="s">
        <v>1540</v>
      </c>
      <c r="C307" s="1" t="s">
        <v>1541</v>
      </c>
      <c r="D307" s="1" t="s">
        <v>1542</v>
      </c>
      <c r="E307" s="4">
        <v>45099.0</v>
      </c>
      <c r="F307" s="5">
        <v>0.4847222222222222</v>
      </c>
      <c r="G307" s="1">
        <v>9701.0</v>
      </c>
      <c r="H307" s="1">
        <v>453.0</v>
      </c>
      <c r="I307" s="1">
        <v>14.0</v>
      </c>
      <c r="J307" s="3" t="s">
        <v>1543</v>
      </c>
      <c r="K307" s="6">
        <f t="shared" si="1"/>
        <v>4.813936708</v>
      </c>
      <c r="L307" s="7">
        <f t="shared" si="2"/>
        <v>698</v>
      </c>
      <c r="M307" s="8">
        <f t="shared" si="3"/>
        <v>45096</v>
      </c>
      <c r="N307" s="9" t="str">
        <f>IFERROR(__xludf.DUMMYFUNCTION("IFS(
REGEXMATCH(LOWER(A307),""option|options""),""Options Strategy Education"",
REGEXMATCH(LOWER(A307),""bank nifty|nifty|index""),""Index Options"",
REGEXMATCH(LOWER(A307),""algo|api|systematic""),""Algo Trading / API Tutorial"",
REGEXMATCH(LOWER(A307),"&amp;"""groww|mtf|margin|pledge""),""Platform / Groww Feature Tutorial"",
REGEXMATCH(LOWER(A307),""candlestick|chart|price action|trendline|rsi|indicator""),""Technical Analysis / Chart Patterns"",
REGEXMATCH(LOWER(A307),""beginner|guide|start trading""),""Begi"&amp;"nner Trading Education"",
REGEXMATCH(LOWER(A307),""interview|journey|talks|wisdom""),""Expert Interview / Trading Insights"",
REGEXMATCH(LOWER(A307),""risk|loss|drawdown|psychology""),""Trading Psychology / Risk Management"",
REGEXMATCH(LOWER(A307),""comm"&amp;"odity|crude|gold|natural gas""),""Commodity Trading Education"",
TRUE,""General Trading Education""
)
"),"Trading Psychology / Risk Management")</f>
        <v>Trading Psychology / Risk Management</v>
      </c>
    </row>
    <row r="308" ht="15.75" customHeight="1">
      <c r="A308" s="1" t="s">
        <v>1544</v>
      </c>
      <c r="B308" s="3" t="s">
        <v>1545</v>
      </c>
      <c r="C308" s="1" t="s">
        <v>1546</v>
      </c>
      <c r="D308" s="1" t="s">
        <v>1547</v>
      </c>
      <c r="E308" s="4">
        <v>45097.0</v>
      </c>
      <c r="F308" s="5">
        <v>0.7833333333333333</v>
      </c>
      <c r="G308" s="1">
        <v>48801.0</v>
      </c>
      <c r="H308" s="1">
        <v>1592.0</v>
      </c>
      <c r="I308" s="1">
        <v>58.0</v>
      </c>
      <c r="J308" s="3" t="s">
        <v>1548</v>
      </c>
      <c r="K308" s="6">
        <f t="shared" si="1"/>
        <v>3.381078257</v>
      </c>
      <c r="L308" s="7">
        <f t="shared" si="2"/>
        <v>1128</v>
      </c>
      <c r="M308" s="8">
        <f t="shared" si="3"/>
        <v>45096</v>
      </c>
      <c r="N308" s="9" t="str">
        <f>IFERROR(__xludf.DUMMYFUNCTION("IFS(
REGEXMATCH(LOWER(A308),""option|options""),""Options Strategy Education"",
REGEXMATCH(LOWER(A308),""bank nifty|nifty|index""),""Index Options"",
REGEXMATCH(LOWER(A308),""algo|api|systematic""),""Algo Trading / API Tutorial"",
REGEXMATCH(LOWER(A308),"&amp;"""groww|mtf|margin|pledge""),""Platform / Groww Feature Tutorial"",
REGEXMATCH(LOWER(A308),""candlestick|chart|price action|trendline|rsi|indicator""),""Technical Analysis / Chart Patterns"",
REGEXMATCH(LOWER(A308),""beginner|guide|start trading""),""Begi"&amp;"nner Trading Education"",
REGEXMATCH(LOWER(A308),""interview|journey|talks|wisdom""),""Expert Interview / Trading Insights"",
REGEXMATCH(LOWER(A308),""risk|loss|drawdown|psychology""),""Trading Psychology / Risk Management"",
REGEXMATCH(LOWER(A308),""comm"&amp;"odity|crude|gold|natural gas""),""Commodity Trading Education"",
TRUE,""General Trading Education""
)
"),"Platform / Groww Feature Tutorial")</f>
        <v>Platform / Groww Feature Tutorial</v>
      </c>
    </row>
    <row r="309" ht="15.75" customHeight="1">
      <c r="A309" s="1" t="s">
        <v>1549</v>
      </c>
      <c r="B309" s="3" t="s">
        <v>1550</v>
      </c>
      <c r="C309" s="1" t="s">
        <v>1551</v>
      </c>
      <c r="D309" s="1" t="s">
        <v>1552</v>
      </c>
      <c r="E309" s="4">
        <v>45095.0</v>
      </c>
      <c r="F309" s="5">
        <v>0.5368055555555555</v>
      </c>
      <c r="G309" s="1">
        <v>3573.0</v>
      </c>
      <c r="H309" s="1">
        <v>124.0</v>
      </c>
      <c r="I309" s="1">
        <v>5.0</v>
      </c>
      <c r="J309" s="3" t="s">
        <v>1553</v>
      </c>
      <c r="K309" s="6">
        <f t="shared" si="1"/>
        <v>3.610411419</v>
      </c>
      <c r="L309" s="7">
        <f t="shared" si="2"/>
        <v>773</v>
      </c>
      <c r="M309" s="8">
        <f t="shared" si="3"/>
        <v>45089</v>
      </c>
      <c r="N309" s="9" t="str">
        <f>IFERROR(__xludf.DUMMYFUNCTION("IFS(
REGEXMATCH(LOWER(A309),""option|options""),""Options Strategy Education"",
REGEXMATCH(LOWER(A309),""bank nifty|nifty|index""),""Index Options"",
REGEXMATCH(LOWER(A309),""algo|api|systematic""),""Algo Trading / API Tutorial"",
REGEXMATCH(LOWER(A309),"&amp;"""groww|mtf|margin|pledge""),""Platform / Groww Feature Tutorial"",
REGEXMATCH(LOWER(A309),""candlestick|chart|price action|trendline|rsi|indicator""),""Technical Analysis / Chart Patterns"",
REGEXMATCH(LOWER(A309),""beginner|guide|start trading""),""Begi"&amp;"nner Trading Education"",
REGEXMATCH(LOWER(A309),""interview|journey|talks|wisdom""),""Expert Interview / Trading Insights"",
REGEXMATCH(LOWER(A309),""risk|loss|drawdown|psychology""),""Trading Psychology / Risk Management"",
REGEXMATCH(LOWER(A309),""comm"&amp;"odity|crude|gold|natural gas""),""Commodity Trading Education"",
TRUE,""General Trading Education""
)
"),"Trading Psychology / Risk Management")</f>
        <v>Trading Psychology / Risk Management</v>
      </c>
    </row>
    <row r="310" ht="15.75" customHeight="1">
      <c r="A310" s="1" t="s">
        <v>1554</v>
      </c>
      <c r="B310" s="3" t="s">
        <v>1555</v>
      </c>
      <c r="C310" s="1" t="s">
        <v>1556</v>
      </c>
      <c r="D310" s="1" t="s">
        <v>1557</v>
      </c>
      <c r="E310" s="4">
        <v>45092.0</v>
      </c>
      <c r="F310" s="5">
        <v>0.5319444444444444</v>
      </c>
      <c r="G310" s="1">
        <v>12125.0</v>
      </c>
      <c r="H310" s="1">
        <v>473.0</v>
      </c>
      <c r="I310" s="1">
        <v>12.0</v>
      </c>
      <c r="J310" s="3" t="s">
        <v>1558</v>
      </c>
      <c r="K310" s="6">
        <f t="shared" si="1"/>
        <v>4</v>
      </c>
      <c r="L310" s="7">
        <f t="shared" si="2"/>
        <v>766</v>
      </c>
      <c r="M310" s="8">
        <f t="shared" si="3"/>
        <v>45089</v>
      </c>
      <c r="N310" s="9" t="str">
        <f>IFERROR(__xludf.DUMMYFUNCTION("IFS(
REGEXMATCH(LOWER(A310),""option|options""),""Options Strategy Education"",
REGEXMATCH(LOWER(A310),""bank nifty|nifty|index""),""Index Options"",
REGEXMATCH(LOWER(A310),""algo|api|systematic""),""Algo Trading / API Tutorial"",
REGEXMATCH(LOWER(A310),"&amp;"""groww|mtf|margin|pledge""),""Platform / Groww Feature Tutorial"",
REGEXMATCH(LOWER(A310),""candlestick|chart|price action|trendline|rsi|indicator""),""Technical Analysis / Chart Patterns"",
REGEXMATCH(LOWER(A310),""beginner|guide|start trading""),""Begi"&amp;"nner Trading Education"",
REGEXMATCH(LOWER(A310),""interview|journey|talks|wisdom""),""Expert Interview / Trading Insights"",
REGEXMATCH(LOWER(A310),""risk|loss|drawdown|psychology""),""Trading Psychology / Risk Management"",
REGEXMATCH(LOWER(A310),""comm"&amp;"odity|crude|gold|natural gas""),""Commodity Trading Education"",
TRUE,""General Trading Education""
)
"),"General Trading Education")</f>
        <v>General Trading Education</v>
      </c>
    </row>
    <row r="311" ht="15.75" customHeight="1">
      <c r="A311" s="1" t="s">
        <v>1559</v>
      </c>
      <c r="B311" s="3" t="s">
        <v>1560</v>
      </c>
      <c r="C311" s="1" t="s">
        <v>1561</v>
      </c>
      <c r="D311" s="1" t="s">
        <v>1562</v>
      </c>
      <c r="E311" s="4">
        <v>45090.0</v>
      </c>
      <c r="F311" s="5">
        <v>0.5194444444444445</v>
      </c>
      <c r="G311" s="1">
        <v>14571.0</v>
      </c>
      <c r="H311" s="1">
        <v>368.0</v>
      </c>
      <c r="I311" s="1">
        <v>8.0</v>
      </c>
      <c r="J311" s="3" t="s">
        <v>1563</v>
      </c>
      <c r="K311" s="6">
        <f t="shared" si="1"/>
        <v>2.580468053</v>
      </c>
      <c r="L311" s="7">
        <f t="shared" si="2"/>
        <v>748</v>
      </c>
      <c r="M311" s="8">
        <f t="shared" si="3"/>
        <v>45089</v>
      </c>
      <c r="N311" s="9" t="str">
        <f>IFERROR(__xludf.DUMMYFUNCTION("IFS(
REGEXMATCH(LOWER(A311),""option|options""),""Options Strategy Education"",
REGEXMATCH(LOWER(A311),""bank nifty|nifty|index""),""Index Options"",
REGEXMATCH(LOWER(A311),""algo|api|systematic""),""Algo Trading / API Tutorial"",
REGEXMATCH(LOWER(A311),"&amp;"""groww|mtf|margin|pledge""),""Platform / Groww Feature Tutorial"",
REGEXMATCH(LOWER(A311),""candlestick|chart|price action|trendline|rsi|indicator""),""Technical Analysis / Chart Patterns"",
REGEXMATCH(LOWER(A311),""beginner|guide|start trading""),""Begi"&amp;"nner Trading Education"",
REGEXMATCH(LOWER(A311),""interview|journey|talks|wisdom""),""Expert Interview / Trading Insights"",
REGEXMATCH(LOWER(A311),""risk|loss|drawdown|psychology""),""Trading Psychology / Risk Management"",
REGEXMATCH(LOWER(A311),""comm"&amp;"odity|crude|gold|natural gas""),""Commodity Trading Education"",
TRUE,""General Trading Education""
)
"),"General Trading Education")</f>
        <v>General Trading Education</v>
      </c>
    </row>
    <row r="312" ht="15.75" customHeight="1">
      <c r="A312" s="1" t="s">
        <v>1564</v>
      </c>
      <c r="B312" s="3" t="s">
        <v>1565</v>
      </c>
      <c r="C312" s="1" t="s">
        <v>1566</v>
      </c>
      <c r="D312" s="1" t="s">
        <v>1567</v>
      </c>
      <c r="E312" s="4">
        <v>45085.0</v>
      </c>
      <c r="F312" s="5">
        <v>0.20694444444444443</v>
      </c>
      <c r="G312" s="1">
        <v>29944.0</v>
      </c>
      <c r="H312" s="1">
        <v>600.0</v>
      </c>
      <c r="I312" s="1">
        <v>50.0</v>
      </c>
      <c r="J312" s="3" t="s">
        <v>1568</v>
      </c>
      <c r="K312" s="6">
        <f t="shared" si="1"/>
        <v>2.170718675</v>
      </c>
      <c r="L312" s="7">
        <f t="shared" si="2"/>
        <v>298</v>
      </c>
      <c r="M312" s="8">
        <f t="shared" si="3"/>
        <v>45082</v>
      </c>
      <c r="N312" s="9" t="str">
        <f>IFERROR(__xludf.DUMMYFUNCTION("IFS(
REGEXMATCH(LOWER(A312),""option|options""),""Options Strategy Education"",
REGEXMATCH(LOWER(A312),""bank nifty|nifty|index""),""Index Options"",
REGEXMATCH(LOWER(A312),""algo|api|systematic""),""Algo Trading / API Tutorial"",
REGEXMATCH(LOWER(A312),"&amp;"""groww|mtf|margin|pledge""),""Platform / Groww Feature Tutorial"",
REGEXMATCH(LOWER(A312),""candlestick|chart|price action|trendline|rsi|indicator""),""Technical Analysis / Chart Patterns"",
REGEXMATCH(LOWER(A312),""beginner|guide|start trading""),""Begi"&amp;"nner Trading Education"",
REGEXMATCH(LOWER(A312),""interview|journey|talks|wisdom""),""Expert Interview / Trading Insights"",
REGEXMATCH(LOWER(A312),""risk|loss|drawdown|psychology""),""Trading Psychology / Risk Management"",
REGEXMATCH(LOWER(A312),""comm"&amp;"odity|crude|gold|natural gas""),""Commodity Trading Education"",
TRUE,""General Trading Education""
)
"),"Platform / Groww Feature Tutorial")</f>
        <v>Platform / Groww Feature Tutorial</v>
      </c>
    </row>
    <row r="313" ht="15.75" customHeight="1">
      <c r="A313" s="1" t="s">
        <v>1569</v>
      </c>
      <c r="B313" s="3" t="s">
        <v>1570</v>
      </c>
      <c r="C313" s="1" t="s">
        <v>1571</v>
      </c>
      <c r="D313" s="1" t="s">
        <v>1572</v>
      </c>
      <c r="E313" s="4">
        <v>45083.0</v>
      </c>
      <c r="F313" s="5">
        <v>0.7923611111111111</v>
      </c>
      <c r="G313" s="1">
        <v>66811.0</v>
      </c>
      <c r="H313" s="1">
        <v>1789.0</v>
      </c>
      <c r="I313" s="1">
        <v>44.0</v>
      </c>
      <c r="J313" s="3" t="s">
        <v>1573</v>
      </c>
      <c r="K313" s="6">
        <f t="shared" si="1"/>
        <v>2.743560192</v>
      </c>
      <c r="L313" s="7">
        <f t="shared" si="2"/>
        <v>1141</v>
      </c>
      <c r="M313" s="8">
        <f t="shared" si="3"/>
        <v>45082</v>
      </c>
      <c r="N313" s="9" t="str">
        <f>IFERROR(__xludf.DUMMYFUNCTION("IFS(
REGEXMATCH(LOWER(A313),""option|options""),""Options Strategy Education"",
REGEXMATCH(LOWER(A313),""bank nifty|nifty|index""),""Index Options"",
REGEXMATCH(LOWER(A313),""algo|api|systematic""),""Algo Trading / API Tutorial"",
REGEXMATCH(LOWER(A313),"&amp;"""groww|mtf|margin|pledge""),""Platform / Groww Feature Tutorial"",
REGEXMATCH(LOWER(A313),""candlestick|chart|price action|trendline|rsi|indicator""),""Technical Analysis / Chart Patterns"",
REGEXMATCH(LOWER(A313),""beginner|guide|start trading""),""Begi"&amp;"nner Trading Education"",
REGEXMATCH(LOWER(A313),""interview|journey|talks|wisdom""),""Expert Interview / Trading Insights"",
REGEXMATCH(LOWER(A313),""risk|loss|drawdown|psychology""),""Trading Psychology / Risk Management"",
REGEXMATCH(LOWER(A313),""comm"&amp;"odity|crude|gold|natural gas""),""Commodity Trading Education"",
TRUE,""General Trading Education""
)
"),"Trading Psychology / Risk Management")</f>
        <v>Trading Psychology / Risk Management</v>
      </c>
    </row>
    <row r="314" ht="15.75" customHeight="1">
      <c r="A314" s="1" t="s">
        <v>1574</v>
      </c>
      <c r="B314" s="3" t="s">
        <v>1575</v>
      </c>
      <c r="C314" s="1" t="s">
        <v>1576</v>
      </c>
      <c r="D314" s="1" t="s">
        <v>1577</v>
      </c>
      <c r="E314" s="4">
        <v>45081.0</v>
      </c>
      <c r="F314" s="5">
        <v>0.4875</v>
      </c>
      <c r="G314" s="1">
        <v>7330.0</v>
      </c>
      <c r="H314" s="1">
        <v>376.0</v>
      </c>
      <c r="I314" s="1">
        <v>19.0</v>
      </c>
      <c r="J314" s="3" t="s">
        <v>1578</v>
      </c>
      <c r="K314" s="6">
        <f t="shared" si="1"/>
        <v>5.388813097</v>
      </c>
      <c r="L314" s="7">
        <f t="shared" si="2"/>
        <v>702</v>
      </c>
      <c r="M314" s="8">
        <f t="shared" si="3"/>
        <v>45075</v>
      </c>
      <c r="N314" s="9" t="str">
        <f>IFERROR(__xludf.DUMMYFUNCTION("IFS(
REGEXMATCH(LOWER(A314),""option|options""),""Options Strategy Education"",
REGEXMATCH(LOWER(A314),""bank nifty|nifty|index""),""Index Options"",
REGEXMATCH(LOWER(A314),""algo|api|systematic""),""Algo Trading / API Tutorial"",
REGEXMATCH(LOWER(A314),"&amp;"""groww|mtf|margin|pledge""),""Platform / Groww Feature Tutorial"",
REGEXMATCH(LOWER(A314),""candlestick|chart|price action|trendline|rsi|indicator""),""Technical Analysis / Chart Patterns"",
REGEXMATCH(LOWER(A314),""beginner|guide|start trading""),""Begi"&amp;"nner Trading Education"",
REGEXMATCH(LOWER(A314),""interview|journey|talks|wisdom""),""Expert Interview / Trading Insights"",
REGEXMATCH(LOWER(A314),""risk|loss|drawdown|psychology""),""Trading Psychology / Risk Management"",
REGEXMATCH(LOWER(A314),""comm"&amp;"odity|crude|gold|natural gas""),""Commodity Trading Education"",
TRUE,""General Trading Education""
)
"),"Technical Analysis / Chart Patterns")</f>
        <v>Technical Analysis / Chart Patterns</v>
      </c>
    </row>
    <row r="315" ht="15.75" customHeight="1">
      <c r="A315" s="1" t="s">
        <v>1579</v>
      </c>
      <c r="B315" s="3" t="s">
        <v>1580</v>
      </c>
      <c r="C315" s="1" t="s">
        <v>1581</v>
      </c>
      <c r="D315" s="1" t="s">
        <v>1582</v>
      </c>
      <c r="E315" s="4">
        <v>45080.0</v>
      </c>
      <c r="F315" s="5">
        <v>0.5354166666666667</v>
      </c>
      <c r="G315" s="1">
        <v>13791.0</v>
      </c>
      <c r="H315" s="1">
        <v>307.0</v>
      </c>
      <c r="I315" s="1">
        <v>20.0</v>
      </c>
      <c r="J315" s="3" t="s">
        <v>1583</v>
      </c>
      <c r="K315" s="6">
        <f t="shared" si="1"/>
        <v>2.371111595</v>
      </c>
      <c r="L315" s="7">
        <f t="shared" si="2"/>
        <v>771</v>
      </c>
      <c r="M315" s="8">
        <f t="shared" si="3"/>
        <v>45075</v>
      </c>
      <c r="N315" s="9" t="str">
        <f>IFERROR(__xludf.DUMMYFUNCTION("IFS(
REGEXMATCH(LOWER(A315),""option|options""),""Options Strategy Education"",
REGEXMATCH(LOWER(A315),""bank nifty|nifty|index""),""Index Options"",
REGEXMATCH(LOWER(A315),""algo|api|systematic""),""Algo Trading / API Tutorial"",
REGEXMATCH(LOWER(A315),"&amp;"""groww|mtf|margin|pledge""),""Platform / Groww Feature Tutorial"",
REGEXMATCH(LOWER(A315),""candlestick|chart|price action|trendline|rsi|indicator""),""Technical Analysis / Chart Patterns"",
REGEXMATCH(LOWER(A315),""beginner|guide|start trading""),""Begi"&amp;"nner Trading Education"",
REGEXMATCH(LOWER(A315),""interview|journey|talks|wisdom""),""Expert Interview / Trading Insights"",
REGEXMATCH(LOWER(A315),""risk|loss|drawdown|psychology""),""Trading Psychology / Risk Management"",
REGEXMATCH(LOWER(A315),""comm"&amp;"odity|crude|gold|natural gas""),""Commodity Trading Education"",
TRUE,""General Trading Education""
)
"),"Options Strategy Education")</f>
        <v>Options Strategy Education</v>
      </c>
    </row>
    <row r="316" ht="15.75" customHeight="1">
      <c r="A316" s="1" t="s">
        <v>1584</v>
      </c>
      <c r="B316" s="3" t="s">
        <v>1585</v>
      </c>
      <c r="C316" s="1" t="s">
        <v>1586</v>
      </c>
      <c r="D316" s="1" t="s">
        <v>1587</v>
      </c>
      <c r="E316" s="4">
        <v>45078.0</v>
      </c>
      <c r="F316" s="5">
        <v>0.5819444444444445</v>
      </c>
      <c r="G316" s="1">
        <v>39879.0</v>
      </c>
      <c r="H316" s="1">
        <v>1452.0</v>
      </c>
      <c r="I316" s="1">
        <v>33.0</v>
      </c>
      <c r="J316" s="3" t="s">
        <v>1588</v>
      </c>
      <c r="K316" s="6">
        <f t="shared" si="1"/>
        <v>3.723764387</v>
      </c>
      <c r="L316" s="7">
        <f t="shared" si="2"/>
        <v>838</v>
      </c>
      <c r="M316" s="8">
        <f t="shared" si="3"/>
        <v>45075</v>
      </c>
      <c r="N316" s="9" t="str">
        <f>IFERROR(__xludf.DUMMYFUNCTION("IFS(
REGEXMATCH(LOWER(A316),""option|options""),""Options Strategy Education"",
REGEXMATCH(LOWER(A316),""bank nifty|nifty|index""),""Index Options"",
REGEXMATCH(LOWER(A316),""algo|api|systematic""),""Algo Trading / API Tutorial"",
REGEXMATCH(LOWER(A316),"&amp;"""groww|mtf|margin|pledge""),""Platform / Groww Feature Tutorial"",
REGEXMATCH(LOWER(A316),""candlestick|chart|price action|trendline|rsi|indicator""),""Technical Analysis / Chart Patterns"",
REGEXMATCH(LOWER(A316),""beginner|guide|start trading""),""Begi"&amp;"nner Trading Education"",
REGEXMATCH(LOWER(A316),""interview|journey|talks|wisdom""),""Expert Interview / Trading Insights"",
REGEXMATCH(LOWER(A316),""risk|loss|drawdown|psychology""),""Trading Psychology / Risk Management"",
REGEXMATCH(LOWER(A316),""comm"&amp;"odity|crude|gold|natural gas""),""Commodity Trading Education"",
TRUE,""General Trading Education""
)
"),"Beginner Trading Education")</f>
        <v>Beginner Trading Education</v>
      </c>
    </row>
    <row r="317" ht="15.75" customHeight="1">
      <c r="A317" s="1" t="s">
        <v>1589</v>
      </c>
      <c r="B317" s="3" t="s">
        <v>1590</v>
      </c>
      <c r="C317" s="1" t="s">
        <v>1591</v>
      </c>
      <c r="D317" s="1" t="s">
        <v>1592</v>
      </c>
      <c r="E317" s="4">
        <v>45076.0</v>
      </c>
      <c r="F317" s="5">
        <v>0.8791666666666667</v>
      </c>
      <c r="G317" s="1">
        <v>7281.0</v>
      </c>
      <c r="H317" s="1">
        <v>272.0</v>
      </c>
      <c r="I317" s="1">
        <v>11.0</v>
      </c>
      <c r="J317" s="3" t="s">
        <v>1593</v>
      </c>
      <c r="K317" s="6">
        <f t="shared" si="1"/>
        <v>3.886828732</v>
      </c>
      <c r="L317" s="7">
        <f t="shared" si="2"/>
        <v>1266</v>
      </c>
      <c r="M317" s="8">
        <f t="shared" si="3"/>
        <v>45075</v>
      </c>
      <c r="N317" s="9" t="str">
        <f>IFERROR(__xludf.DUMMYFUNCTION("IFS(
REGEXMATCH(LOWER(A317),""option|options""),""Options Strategy Education"",
REGEXMATCH(LOWER(A317),""bank nifty|nifty|index""),""Index Options"",
REGEXMATCH(LOWER(A317),""algo|api|systematic""),""Algo Trading / API Tutorial"",
REGEXMATCH(LOWER(A317),"&amp;"""groww|mtf|margin|pledge""),""Platform / Groww Feature Tutorial"",
REGEXMATCH(LOWER(A317),""candlestick|chart|price action|trendline|rsi|indicator""),""Technical Analysis / Chart Patterns"",
REGEXMATCH(LOWER(A317),""beginner|guide|start trading""),""Begi"&amp;"nner Trading Education"",
REGEXMATCH(LOWER(A317),""interview|journey|talks|wisdom""),""Expert Interview / Trading Insights"",
REGEXMATCH(LOWER(A317),""risk|loss|drawdown|psychology""),""Trading Psychology / Risk Management"",
REGEXMATCH(LOWER(A317),""comm"&amp;"odity|crude|gold|natural gas""),""Commodity Trading Education"",
TRUE,""General Trading Education""
)
"),"Beginner Trading Education")</f>
        <v>Beginner Trading Education</v>
      </c>
    </row>
    <row r="318" ht="15.75" customHeight="1">
      <c r="A318" s="1" t="s">
        <v>1594</v>
      </c>
      <c r="B318" s="3" t="s">
        <v>1595</v>
      </c>
      <c r="C318" s="1" t="s">
        <v>1596</v>
      </c>
      <c r="D318" s="1" t="s">
        <v>1597</v>
      </c>
      <c r="E318" s="4">
        <v>45074.0</v>
      </c>
      <c r="F318" s="5">
        <v>0.8430555555555556</v>
      </c>
      <c r="G318" s="1">
        <v>13080.0</v>
      </c>
      <c r="H318" s="1">
        <v>267.0</v>
      </c>
      <c r="I318" s="1">
        <v>28.0</v>
      </c>
      <c r="J318" s="3" t="s">
        <v>1598</v>
      </c>
      <c r="K318" s="6">
        <f t="shared" si="1"/>
        <v>2.255351682</v>
      </c>
      <c r="L318" s="7">
        <f t="shared" si="2"/>
        <v>1214</v>
      </c>
      <c r="M318" s="8">
        <f t="shared" si="3"/>
        <v>45068</v>
      </c>
      <c r="N318" s="9" t="str">
        <f>IFERROR(__xludf.DUMMYFUNCTION("IFS(
REGEXMATCH(LOWER(A318),""option|options""),""Options Strategy Education"",
REGEXMATCH(LOWER(A318),""bank nifty|nifty|index""),""Index Options"",
REGEXMATCH(LOWER(A318),""algo|api|systematic""),""Algo Trading / API Tutorial"",
REGEXMATCH(LOWER(A318),"&amp;"""groww|mtf|margin|pledge""),""Platform / Groww Feature Tutorial"",
REGEXMATCH(LOWER(A318),""candlestick|chart|price action|trendline|rsi|indicator""),""Technical Analysis / Chart Patterns"",
REGEXMATCH(LOWER(A318),""beginner|guide|start trading""),""Begi"&amp;"nner Trading Education"",
REGEXMATCH(LOWER(A318),""interview|journey|talks|wisdom""),""Expert Interview / Trading Insights"",
REGEXMATCH(LOWER(A318),""risk|loss|drawdown|psychology""),""Trading Psychology / Risk Management"",
REGEXMATCH(LOWER(A318),""comm"&amp;"odity|crude|gold|natural gas""),""Commodity Trading Education"",
TRUE,""General Trading Education""
)
"),"Options Strategy Education")</f>
        <v>Options Strategy Education</v>
      </c>
    </row>
    <row r="319" ht="15.75" customHeight="1">
      <c r="A319" s="1" t="s">
        <v>1599</v>
      </c>
      <c r="B319" s="3" t="s">
        <v>1600</v>
      </c>
      <c r="C319" s="1" t="s">
        <v>1601</v>
      </c>
      <c r="D319" s="1" t="s">
        <v>1602</v>
      </c>
      <c r="E319" s="4">
        <v>45071.0</v>
      </c>
      <c r="F319" s="5">
        <v>0.6291666666666667</v>
      </c>
      <c r="G319" s="1">
        <v>11322.0</v>
      </c>
      <c r="H319" s="1">
        <v>495.0</v>
      </c>
      <c r="I319" s="1">
        <v>23.0</v>
      </c>
      <c r="J319" s="3" t="s">
        <v>1603</v>
      </c>
      <c r="K319" s="6">
        <f t="shared" si="1"/>
        <v>4.575163399</v>
      </c>
      <c r="L319" s="7">
        <f t="shared" si="2"/>
        <v>906</v>
      </c>
      <c r="M319" s="8">
        <f t="shared" si="3"/>
        <v>45068</v>
      </c>
      <c r="N319" s="9" t="str">
        <f>IFERROR(__xludf.DUMMYFUNCTION("IFS(
REGEXMATCH(LOWER(A319),""option|options""),""Options Strategy Education"",
REGEXMATCH(LOWER(A319),""bank nifty|nifty|index""),""Index Options"",
REGEXMATCH(LOWER(A319),""algo|api|systematic""),""Algo Trading / API Tutorial"",
REGEXMATCH(LOWER(A319),"&amp;"""groww|mtf|margin|pledge""),""Platform / Groww Feature Tutorial"",
REGEXMATCH(LOWER(A319),""candlestick|chart|price action|trendline|rsi|indicator""),""Technical Analysis / Chart Patterns"",
REGEXMATCH(LOWER(A319),""beginner|guide|start trading""),""Begi"&amp;"nner Trading Education"",
REGEXMATCH(LOWER(A319),""interview|journey|talks|wisdom""),""Expert Interview / Trading Insights"",
REGEXMATCH(LOWER(A319),""risk|loss|drawdown|psychology""),""Trading Psychology / Risk Management"",
REGEXMATCH(LOWER(A319),""comm"&amp;"odity|crude|gold|natural gas""),""Commodity Trading Education"",
TRUE,""General Trading Education""
)
"),"Beginner Trading Education")</f>
        <v>Beginner Trading Education</v>
      </c>
    </row>
    <row r="320" ht="15.75" customHeight="1">
      <c r="A320" s="1" t="s">
        <v>1604</v>
      </c>
      <c r="B320" s="3" t="s">
        <v>1605</v>
      </c>
      <c r="C320" s="1" t="s">
        <v>1606</v>
      </c>
      <c r="D320" s="1" t="s">
        <v>1607</v>
      </c>
      <c r="E320" s="4">
        <v>45069.0</v>
      </c>
      <c r="F320" s="5">
        <v>0.5875</v>
      </c>
      <c r="G320" s="1">
        <v>57847.0</v>
      </c>
      <c r="H320" s="1">
        <v>1733.0</v>
      </c>
      <c r="I320" s="1">
        <v>36.0</v>
      </c>
      <c r="J320" s="3" t="s">
        <v>1608</v>
      </c>
      <c r="K320" s="6">
        <f t="shared" si="1"/>
        <v>3.05806697</v>
      </c>
      <c r="L320" s="7">
        <f t="shared" si="2"/>
        <v>846</v>
      </c>
      <c r="M320" s="8">
        <f t="shared" si="3"/>
        <v>45068</v>
      </c>
      <c r="N320" s="9" t="str">
        <f>IFERROR(__xludf.DUMMYFUNCTION("IFS(
REGEXMATCH(LOWER(A320),""option|options""),""Options Strategy Education"",
REGEXMATCH(LOWER(A320),""bank nifty|nifty|index""),""Index Options"",
REGEXMATCH(LOWER(A320),""algo|api|systematic""),""Algo Trading / API Tutorial"",
REGEXMATCH(LOWER(A320),"&amp;"""groww|mtf|margin|pledge""),""Platform / Groww Feature Tutorial"",
REGEXMATCH(LOWER(A320),""candlestick|chart|price action|trendline|rsi|indicator""),""Technical Analysis / Chart Patterns"",
REGEXMATCH(LOWER(A320),""beginner|guide|start trading""),""Begi"&amp;"nner Trading Education"",
REGEXMATCH(LOWER(A320),""interview|journey|talks|wisdom""),""Expert Interview / Trading Insights"",
REGEXMATCH(LOWER(A320),""risk|loss|drawdown|psychology""),""Trading Psychology / Risk Management"",
REGEXMATCH(LOWER(A320),""comm"&amp;"odity|crude|gold|natural gas""),""Commodity Trading Education"",
TRUE,""General Trading Education""
)
"),"Beginner Trading Education")</f>
        <v>Beginner Trading Education</v>
      </c>
    </row>
    <row r="321" ht="15.75" customHeight="1">
      <c r="A321" s="1" t="s">
        <v>1609</v>
      </c>
      <c r="B321" s="3" t="s">
        <v>1610</v>
      </c>
      <c r="C321" s="1" t="s">
        <v>1611</v>
      </c>
      <c r="D321" s="1" t="s">
        <v>1612</v>
      </c>
      <c r="E321" s="4">
        <v>45067.0</v>
      </c>
      <c r="F321" s="5">
        <v>0.7236111111111111</v>
      </c>
      <c r="G321" s="1">
        <v>6266.0</v>
      </c>
      <c r="H321" s="1">
        <v>259.0</v>
      </c>
      <c r="I321" s="1">
        <v>13.0</v>
      </c>
      <c r="J321" s="3" t="s">
        <v>1613</v>
      </c>
      <c r="K321" s="6">
        <f t="shared" si="1"/>
        <v>4.340887328</v>
      </c>
      <c r="L321" s="7">
        <f t="shared" si="2"/>
        <v>1042</v>
      </c>
      <c r="M321" s="8">
        <f t="shared" si="3"/>
        <v>45061</v>
      </c>
      <c r="N321" s="9" t="str">
        <f>IFERROR(__xludf.DUMMYFUNCTION("IFS(
REGEXMATCH(LOWER(A321),""option|options""),""Options Strategy Education"",
REGEXMATCH(LOWER(A321),""bank nifty|nifty|index""),""Index Options"",
REGEXMATCH(LOWER(A321),""algo|api|systematic""),""Algo Trading / API Tutorial"",
REGEXMATCH(LOWER(A321),"&amp;"""groww|mtf|margin|pledge""),""Platform / Groww Feature Tutorial"",
REGEXMATCH(LOWER(A321),""candlestick|chart|price action|trendline|rsi|indicator""),""Technical Analysis / Chart Patterns"",
REGEXMATCH(LOWER(A321),""beginner|guide|start trading""),""Begi"&amp;"nner Trading Education"",
REGEXMATCH(LOWER(A321),""interview|journey|talks|wisdom""),""Expert Interview / Trading Insights"",
REGEXMATCH(LOWER(A321),""risk|loss|drawdown|psychology""),""Trading Psychology / Risk Management"",
REGEXMATCH(LOWER(A321),""comm"&amp;"odity|crude|gold|natural gas""),""Commodity Trading Education"",
TRUE,""General Trading Education""
)
"),"Beginner Trading Education")</f>
        <v>Beginner Trading Education</v>
      </c>
    </row>
    <row r="322" ht="15.75" customHeight="1">
      <c r="A322" s="1" t="s">
        <v>1614</v>
      </c>
      <c r="B322" s="3" t="s">
        <v>1615</v>
      </c>
      <c r="C322" s="1" t="s">
        <v>1616</v>
      </c>
      <c r="D322" s="1" t="s">
        <v>1617</v>
      </c>
      <c r="E322" s="4">
        <v>45064.0</v>
      </c>
      <c r="F322" s="5">
        <v>0.4847222222222222</v>
      </c>
      <c r="G322" s="1">
        <v>6248.0</v>
      </c>
      <c r="H322" s="1">
        <v>315.0</v>
      </c>
      <c r="I322" s="1">
        <v>22.0</v>
      </c>
      <c r="J322" s="3" t="s">
        <v>1618</v>
      </c>
      <c r="K322" s="6">
        <f t="shared" si="1"/>
        <v>5.393725992</v>
      </c>
      <c r="L322" s="7">
        <f t="shared" si="2"/>
        <v>698</v>
      </c>
      <c r="M322" s="8">
        <f t="shared" si="3"/>
        <v>45061</v>
      </c>
      <c r="N322" s="9" t="str">
        <f>IFERROR(__xludf.DUMMYFUNCTION("IFS(
REGEXMATCH(LOWER(A322),""option|options""),""Options Strategy Education"",
REGEXMATCH(LOWER(A322),""bank nifty|nifty|index""),""Index Options"",
REGEXMATCH(LOWER(A322),""algo|api|systematic""),""Algo Trading / API Tutorial"",
REGEXMATCH(LOWER(A322),"&amp;"""groww|mtf|margin|pledge""),""Platform / Groww Feature Tutorial"",
REGEXMATCH(LOWER(A322),""candlestick|chart|price action|trendline|rsi|indicator""),""Technical Analysis / Chart Patterns"",
REGEXMATCH(LOWER(A322),""beginner|guide|start trading""),""Begi"&amp;"nner Trading Education"",
REGEXMATCH(LOWER(A322),""interview|journey|talks|wisdom""),""Expert Interview / Trading Insights"",
REGEXMATCH(LOWER(A322),""risk|loss|drawdown|psychology""),""Trading Psychology / Risk Management"",
REGEXMATCH(LOWER(A322),""comm"&amp;"odity|crude|gold|natural gas""),""Commodity Trading Education"",
TRUE,""General Trading Education""
)
"),"Technical Analysis / Chart Patterns")</f>
        <v>Technical Analysis / Chart Patterns</v>
      </c>
    </row>
    <row r="323" ht="15.75" customHeight="1">
      <c r="A323" s="1" t="s">
        <v>1619</v>
      </c>
      <c r="B323" s="3" t="s">
        <v>1620</v>
      </c>
      <c r="C323" s="1" t="s">
        <v>1621</v>
      </c>
      <c r="D323" s="1" t="s">
        <v>1622</v>
      </c>
      <c r="E323" s="4">
        <v>45062.0</v>
      </c>
      <c r="F323" s="5">
        <v>0.4909722222222222</v>
      </c>
      <c r="G323" s="1">
        <v>30743.0</v>
      </c>
      <c r="H323" s="1">
        <v>1375.0</v>
      </c>
      <c r="I323" s="1">
        <v>38.0</v>
      </c>
      <c r="J323" s="3" t="s">
        <v>1623</v>
      </c>
      <c r="K323" s="6">
        <f t="shared" si="1"/>
        <v>4.596168233</v>
      </c>
      <c r="L323" s="7">
        <f t="shared" si="2"/>
        <v>707</v>
      </c>
      <c r="M323" s="8">
        <f t="shared" si="3"/>
        <v>45061</v>
      </c>
      <c r="N323" s="9" t="str">
        <f>IFERROR(__xludf.DUMMYFUNCTION("IFS(
REGEXMATCH(LOWER(A323),""option|options""),""Options Strategy Education"",
REGEXMATCH(LOWER(A323),""bank nifty|nifty|index""),""Index Options"",
REGEXMATCH(LOWER(A323),""algo|api|systematic""),""Algo Trading / API Tutorial"",
REGEXMATCH(LOWER(A323),"&amp;"""groww|mtf|margin|pledge""),""Platform / Groww Feature Tutorial"",
REGEXMATCH(LOWER(A323),""candlestick|chart|price action|trendline|rsi|indicator""),""Technical Analysis / Chart Patterns"",
REGEXMATCH(LOWER(A323),""beginner|guide|start trading""),""Begi"&amp;"nner Trading Education"",
REGEXMATCH(LOWER(A323),""interview|journey|talks|wisdom""),""Expert Interview / Trading Insights"",
REGEXMATCH(LOWER(A323),""risk|loss|drawdown|psychology""),""Trading Psychology / Risk Management"",
REGEXMATCH(LOWER(A323),""comm"&amp;"odity|crude|gold|natural gas""),""Commodity Trading Education"",
TRUE,""General Trading Education""
)
"),"Platform / Groww Feature Tutorial")</f>
        <v>Platform / Groww Feature Tutorial</v>
      </c>
    </row>
    <row r="324" ht="15.75" customHeight="1">
      <c r="A324" s="1" t="s">
        <v>1624</v>
      </c>
      <c r="B324" s="3" t="s">
        <v>1625</v>
      </c>
      <c r="C324" s="1" t="s">
        <v>1626</v>
      </c>
      <c r="D324" s="1" t="s">
        <v>1627</v>
      </c>
      <c r="E324" s="4">
        <v>45060.0</v>
      </c>
      <c r="F324" s="5">
        <v>0.39791666666666664</v>
      </c>
      <c r="G324" s="1">
        <v>11323.0</v>
      </c>
      <c r="H324" s="1">
        <v>481.0</v>
      </c>
      <c r="I324" s="1">
        <v>8.0</v>
      </c>
      <c r="J324" s="3" t="s">
        <v>1628</v>
      </c>
      <c r="K324" s="6">
        <f t="shared" si="1"/>
        <v>4.318643469</v>
      </c>
      <c r="L324" s="7">
        <f t="shared" si="2"/>
        <v>573</v>
      </c>
      <c r="M324" s="8">
        <f t="shared" si="3"/>
        <v>45054</v>
      </c>
      <c r="N324" s="9" t="str">
        <f>IFERROR(__xludf.DUMMYFUNCTION("IFS(
REGEXMATCH(LOWER(A324),""option|options""),""Options Strategy Education"",
REGEXMATCH(LOWER(A324),""bank nifty|nifty|index""),""Index Options"",
REGEXMATCH(LOWER(A324),""algo|api|systematic""),""Algo Trading / API Tutorial"",
REGEXMATCH(LOWER(A324),"&amp;"""groww|mtf|margin|pledge""),""Platform / Groww Feature Tutorial"",
REGEXMATCH(LOWER(A324),""candlestick|chart|price action|trendline|rsi|indicator""),""Technical Analysis / Chart Patterns"",
REGEXMATCH(LOWER(A324),""beginner|guide|start trading""),""Begi"&amp;"nner Trading Education"",
REGEXMATCH(LOWER(A324),""interview|journey|talks|wisdom""),""Expert Interview / Trading Insights"",
REGEXMATCH(LOWER(A324),""risk|loss|drawdown|psychology""),""Trading Psychology / Risk Management"",
REGEXMATCH(LOWER(A324),""comm"&amp;"odity|crude|gold|natural gas""),""Commodity Trading Education"",
TRUE,""General Trading Education""
)
"),"Beginner Trading Education")</f>
        <v>Beginner Trading Education</v>
      </c>
    </row>
    <row r="325" ht="15.75" customHeight="1">
      <c r="A325" s="1" t="s">
        <v>1629</v>
      </c>
      <c r="B325" s="3" t="s">
        <v>1630</v>
      </c>
      <c r="C325" s="1" t="s">
        <v>1631</v>
      </c>
      <c r="D325" s="1" t="s">
        <v>1632</v>
      </c>
      <c r="E325" s="4">
        <v>45057.0</v>
      </c>
      <c r="F325" s="5">
        <v>0.4722222222222222</v>
      </c>
      <c r="G325" s="1">
        <v>4973.0</v>
      </c>
      <c r="H325" s="1">
        <v>248.0</v>
      </c>
      <c r="I325" s="1">
        <v>7.0</v>
      </c>
      <c r="J325" s="3" t="s">
        <v>1633</v>
      </c>
      <c r="K325" s="6">
        <f t="shared" si="1"/>
        <v>5.127689523</v>
      </c>
      <c r="L325" s="7">
        <f t="shared" si="2"/>
        <v>680</v>
      </c>
      <c r="M325" s="8">
        <f t="shared" si="3"/>
        <v>45054</v>
      </c>
      <c r="N325" s="9" t="str">
        <f>IFERROR(__xludf.DUMMYFUNCTION("IFS(
REGEXMATCH(LOWER(A325),""option|options""),""Options Strategy Education"",
REGEXMATCH(LOWER(A325),""bank nifty|nifty|index""),""Index Options"",
REGEXMATCH(LOWER(A325),""algo|api|systematic""),""Algo Trading / API Tutorial"",
REGEXMATCH(LOWER(A325),"&amp;"""groww|mtf|margin|pledge""),""Platform / Groww Feature Tutorial"",
REGEXMATCH(LOWER(A325),""candlestick|chart|price action|trendline|rsi|indicator""),""Technical Analysis / Chart Patterns"",
REGEXMATCH(LOWER(A325),""beginner|guide|start trading""),""Begi"&amp;"nner Trading Education"",
REGEXMATCH(LOWER(A325),""interview|journey|talks|wisdom""),""Expert Interview / Trading Insights"",
REGEXMATCH(LOWER(A325),""risk|loss|drawdown|psychology""),""Trading Psychology / Risk Management"",
REGEXMATCH(LOWER(A325),""comm"&amp;"odity|crude|gold|natural gas""),""Commodity Trading Education"",
TRUE,""General Trading Education""
)
"),"Options Strategy Education")</f>
        <v>Options Strategy Education</v>
      </c>
    </row>
    <row r="326" ht="15.75" customHeight="1">
      <c r="A326" s="1" t="s">
        <v>1634</v>
      </c>
      <c r="B326" s="3" t="s">
        <v>1635</v>
      </c>
      <c r="C326" s="1" t="s">
        <v>1636</v>
      </c>
      <c r="D326" s="1" t="s">
        <v>1637</v>
      </c>
      <c r="E326" s="4">
        <v>45055.0</v>
      </c>
      <c r="F326" s="5">
        <v>0.9833333333333333</v>
      </c>
      <c r="G326" s="1">
        <v>4642.0</v>
      </c>
      <c r="H326" s="1">
        <v>151.0</v>
      </c>
      <c r="I326" s="1">
        <v>5.0</v>
      </c>
      <c r="J326" s="3" t="s">
        <v>1638</v>
      </c>
      <c r="K326" s="6">
        <f t="shared" si="1"/>
        <v>3.360620422</v>
      </c>
      <c r="L326" s="7">
        <f t="shared" si="2"/>
        <v>1416</v>
      </c>
      <c r="M326" s="8">
        <f t="shared" si="3"/>
        <v>45054</v>
      </c>
      <c r="N326" s="9" t="str">
        <f>IFERROR(__xludf.DUMMYFUNCTION("IFS(
REGEXMATCH(LOWER(A326),""option|options""),""Options Strategy Education"",
REGEXMATCH(LOWER(A326),""bank nifty|nifty|index""),""Index Options"",
REGEXMATCH(LOWER(A326),""algo|api|systematic""),""Algo Trading / API Tutorial"",
REGEXMATCH(LOWER(A326),"&amp;"""groww|mtf|margin|pledge""),""Platform / Groww Feature Tutorial"",
REGEXMATCH(LOWER(A326),""candlestick|chart|price action|trendline|rsi|indicator""),""Technical Analysis / Chart Patterns"",
REGEXMATCH(LOWER(A326),""beginner|guide|start trading""),""Begi"&amp;"nner Trading Education"",
REGEXMATCH(LOWER(A326),""interview|journey|talks|wisdom""),""Expert Interview / Trading Insights"",
REGEXMATCH(LOWER(A326),""risk|loss|drawdown|psychology""),""Trading Psychology / Risk Management"",
REGEXMATCH(LOWER(A326),""comm"&amp;"odity|crude|gold|natural gas""),""Commodity Trading Education"",
TRUE,""General Trading Education""
)
"),"Algo Trading / API Tutorial")</f>
        <v>Algo Trading / API Tutorial</v>
      </c>
    </row>
    <row r="327" ht="15.75" customHeight="1">
      <c r="A327" s="1" t="s">
        <v>1639</v>
      </c>
      <c r="B327" s="3" t="s">
        <v>1640</v>
      </c>
      <c r="C327" s="1" t="s">
        <v>1641</v>
      </c>
      <c r="D327" s="1" t="s">
        <v>1642</v>
      </c>
      <c r="E327" s="4">
        <v>45053.0</v>
      </c>
      <c r="F327" s="10">
        <v>1.3097222222222222</v>
      </c>
      <c r="G327" s="1">
        <v>28754.0</v>
      </c>
      <c r="H327" s="1">
        <v>819.0</v>
      </c>
      <c r="I327" s="1">
        <v>48.0</v>
      </c>
      <c r="J327" s="3" t="s">
        <v>1643</v>
      </c>
      <c r="K327" s="6">
        <f t="shared" si="1"/>
        <v>3.015232663</v>
      </c>
      <c r="L327" s="7">
        <f t="shared" si="2"/>
        <v>1886</v>
      </c>
      <c r="M327" s="8">
        <f t="shared" si="3"/>
        <v>45047</v>
      </c>
      <c r="N327" s="9" t="str">
        <f>IFERROR(__xludf.DUMMYFUNCTION("IFS(
REGEXMATCH(LOWER(A327),""option|options""),""Options Strategy Education"",
REGEXMATCH(LOWER(A327),""bank nifty|nifty|index""),""Index Options"",
REGEXMATCH(LOWER(A327),""algo|api|systematic""),""Algo Trading / API Tutorial"",
REGEXMATCH(LOWER(A327),"&amp;"""groww|mtf|margin|pledge""),""Platform / Groww Feature Tutorial"",
REGEXMATCH(LOWER(A327),""candlestick|chart|price action|trendline|rsi|indicator""),""Technical Analysis / Chart Patterns"",
REGEXMATCH(LOWER(A327),""beginner|guide|start trading""),""Begi"&amp;"nner Trading Education"",
REGEXMATCH(LOWER(A327),""interview|journey|talks|wisdom""),""Expert Interview / Trading Insights"",
REGEXMATCH(LOWER(A327),""risk|loss|drawdown|psychology""),""Trading Psychology / Risk Management"",
REGEXMATCH(LOWER(A327),""comm"&amp;"odity|crude|gold|natural gas""),""Commodity Trading Education"",
TRUE,""General Trading Education""
)
"),"Options Strategy Education")</f>
        <v>Options Strategy Education</v>
      </c>
    </row>
    <row r="328" ht="15.75" customHeight="1">
      <c r="A328" s="1" t="s">
        <v>1644</v>
      </c>
      <c r="B328" s="3" t="s">
        <v>1645</v>
      </c>
      <c r="C328" s="1" t="s">
        <v>1646</v>
      </c>
      <c r="D328" s="1" t="s">
        <v>1647</v>
      </c>
      <c r="E328" s="4">
        <v>45050.0</v>
      </c>
      <c r="F328" s="5">
        <v>0.6048611111111111</v>
      </c>
      <c r="G328" s="1">
        <v>54599.0</v>
      </c>
      <c r="H328" s="1">
        <v>1904.0</v>
      </c>
      <c r="I328" s="1">
        <v>55.0</v>
      </c>
      <c r="J328" s="3" t="s">
        <v>1648</v>
      </c>
      <c r="K328" s="6">
        <f t="shared" si="1"/>
        <v>3.587977802</v>
      </c>
      <c r="L328" s="7">
        <f t="shared" si="2"/>
        <v>871</v>
      </c>
      <c r="M328" s="8">
        <f t="shared" si="3"/>
        <v>45047</v>
      </c>
      <c r="N328" s="9" t="str">
        <f>IFERROR(__xludf.DUMMYFUNCTION("IFS(
REGEXMATCH(LOWER(A328),""option|options""),""Options Strategy Education"",
REGEXMATCH(LOWER(A328),""bank nifty|nifty|index""),""Index Options"",
REGEXMATCH(LOWER(A328),""algo|api|systematic""),""Algo Trading / API Tutorial"",
REGEXMATCH(LOWER(A328),"&amp;"""groww|mtf|margin|pledge""),""Platform / Groww Feature Tutorial"",
REGEXMATCH(LOWER(A328),""candlestick|chart|price action|trendline|rsi|indicator""),""Technical Analysis / Chart Patterns"",
REGEXMATCH(LOWER(A328),""beginner|guide|start trading""),""Begi"&amp;"nner Trading Education"",
REGEXMATCH(LOWER(A328),""interview|journey|talks|wisdom""),""Expert Interview / Trading Insights"",
REGEXMATCH(LOWER(A328),""risk|loss|drawdown|psychology""),""Trading Psychology / Risk Management"",
REGEXMATCH(LOWER(A328),""comm"&amp;"odity|crude|gold|natural gas""),""Commodity Trading Education"",
TRUE,""General Trading Education""
)
"),"Technical Analysis / Chart Patterns")</f>
        <v>Technical Analysis / Chart Patterns</v>
      </c>
    </row>
    <row r="329" ht="15.75" customHeight="1">
      <c r="A329" s="1" t="s">
        <v>1649</v>
      </c>
      <c r="B329" s="3" t="s">
        <v>1650</v>
      </c>
      <c r="C329" s="1" t="s">
        <v>1651</v>
      </c>
      <c r="D329" s="1" t="s">
        <v>1652</v>
      </c>
      <c r="E329" s="4">
        <v>45049.0</v>
      </c>
      <c r="F329" s="10">
        <v>1.0375</v>
      </c>
      <c r="G329" s="1">
        <v>15315.0</v>
      </c>
      <c r="H329" s="1">
        <v>734.0</v>
      </c>
      <c r="I329" s="1">
        <v>44.0</v>
      </c>
      <c r="J329" s="3" t="s">
        <v>1653</v>
      </c>
      <c r="K329" s="6">
        <f t="shared" si="1"/>
        <v>5.079986941</v>
      </c>
      <c r="L329" s="7">
        <f t="shared" si="2"/>
        <v>1494</v>
      </c>
      <c r="M329" s="8">
        <f t="shared" si="3"/>
        <v>45047</v>
      </c>
      <c r="N329" s="9" t="str">
        <f>IFERROR(__xludf.DUMMYFUNCTION("IFS(
REGEXMATCH(LOWER(A329),""option|options""),""Options Strategy Education"",
REGEXMATCH(LOWER(A329),""bank nifty|nifty|index""),""Index Options"",
REGEXMATCH(LOWER(A329),""algo|api|systematic""),""Algo Trading / API Tutorial"",
REGEXMATCH(LOWER(A329),"&amp;"""groww|mtf|margin|pledge""),""Platform / Groww Feature Tutorial"",
REGEXMATCH(LOWER(A329),""candlestick|chart|price action|trendline|rsi|indicator""),""Technical Analysis / Chart Patterns"",
REGEXMATCH(LOWER(A329),""beginner|guide|start trading""),""Begi"&amp;"nner Trading Education"",
REGEXMATCH(LOWER(A329),""interview|journey|talks|wisdom""),""Expert Interview / Trading Insights"",
REGEXMATCH(LOWER(A329),""risk|loss|drawdown|psychology""),""Trading Psychology / Risk Management"",
REGEXMATCH(LOWER(A329),""comm"&amp;"odity|crude|gold|natural gas""),""Commodity Trading Education"",
TRUE,""General Trading Education""
)
"),"Platform / Groww Feature Tutorial")</f>
        <v>Platform / Groww Feature Tutorial</v>
      </c>
    </row>
    <row r="330" ht="15.75" customHeight="1">
      <c r="A330" s="1" t="s">
        <v>1654</v>
      </c>
      <c r="B330" s="3" t="s">
        <v>1655</v>
      </c>
      <c r="C330" s="1" t="s">
        <v>1656</v>
      </c>
      <c r="D330" s="1" t="s">
        <v>1657</v>
      </c>
      <c r="E330" s="4">
        <v>45044.0</v>
      </c>
      <c r="F330" s="5">
        <v>0.2048611111111111</v>
      </c>
      <c r="G330" s="1">
        <v>49025.0</v>
      </c>
      <c r="H330" s="1">
        <v>1101.0</v>
      </c>
      <c r="I330" s="1">
        <v>115.0</v>
      </c>
      <c r="J330" s="3" t="s">
        <v>1658</v>
      </c>
      <c r="K330" s="6">
        <f t="shared" si="1"/>
        <v>2.48036716</v>
      </c>
      <c r="L330" s="7">
        <f t="shared" si="2"/>
        <v>295</v>
      </c>
      <c r="M330" s="8">
        <f t="shared" si="3"/>
        <v>45040</v>
      </c>
      <c r="N330" s="9" t="str">
        <f>IFERROR(__xludf.DUMMYFUNCTION("IFS(
REGEXMATCH(LOWER(A330),""option|options""),""Options Strategy Education"",
REGEXMATCH(LOWER(A330),""bank nifty|nifty|index""),""Index Options"",
REGEXMATCH(LOWER(A330),""algo|api|systematic""),""Algo Trading / API Tutorial"",
REGEXMATCH(LOWER(A330),"&amp;"""groww|mtf|margin|pledge""),""Platform / Groww Feature Tutorial"",
REGEXMATCH(LOWER(A330),""candlestick|chart|price action|trendline|rsi|indicator""),""Technical Analysis / Chart Patterns"",
REGEXMATCH(LOWER(A330),""beginner|guide|start trading""),""Begi"&amp;"nner Trading Education"",
REGEXMATCH(LOWER(A330),""interview|journey|talks|wisdom""),""Expert Interview / Trading Insights"",
REGEXMATCH(LOWER(A330),""risk|loss|drawdown|psychology""),""Trading Psychology / Risk Management"",
REGEXMATCH(LOWER(A330),""comm"&amp;"odity|crude|gold|natural gas""),""Commodity Trading Education"",
TRUE,""General Trading Education""
)
"),"Platform / Groww Feature Tutorial")</f>
        <v>Platform / Groww Feature Tutorial</v>
      </c>
    </row>
    <row r="331" ht="15.75" customHeight="1">
      <c r="A331" s="1" t="s">
        <v>1659</v>
      </c>
      <c r="B331" s="3" t="s">
        <v>1660</v>
      </c>
      <c r="C331" s="1" t="s">
        <v>1661</v>
      </c>
      <c r="D331" s="1" t="s">
        <v>1662</v>
      </c>
      <c r="E331" s="4">
        <v>45043.0</v>
      </c>
      <c r="F331" s="5">
        <v>0.49027777777777776</v>
      </c>
      <c r="G331" s="1">
        <v>153346.0</v>
      </c>
      <c r="H331" s="1">
        <v>4006.0</v>
      </c>
      <c r="I331" s="1">
        <v>45.0</v>
      </c>
      <c r="J331" s="3" t="s">
        <v>1663</v>
      </c>
      <c r="K331" s="6">
        <f t="shared" si="1"/>
        <v>2.641738291</v>
      </c>
      <c r="L331" s="7">
        <f t="shared" si="2"/>
        <v>706</v>
      </c>
      <c r="M331" s="8">
        <f t="shared" si="3"/>
        <v>45040</v>
      </c>
      <c r="N331" s="9" t="str">
        <f>IFERROR(__xludf.DUMMYFUNCTION("IFS(
REGEXMATCH(LOWER(A331),""option|options""),""Options Strategy Education"",
REGEXMATCH(LOWER(A331),""bank nifty|nifty|index""),""Index Options"",
REGEXMATCH(LOWER(A331),""algo|api|systematic""),""Algo Trading / API Tutorial"",
REGEXMATCH(LOWER(A331),"&amp;"""groww|mtf|margin|pledge""),""Platform / Groww Feature Tutorial"",
REGEXMATCH(LOWER(A331),""candlestick|chart|price action|trendline|rsi|indicator""),""Technical Analysis / Chart Patterns"",
REGEXMATCH(LOWER(A331),""beginner|guide|start trading""),""Begi"&amp;"nner Trading Education"",
REGEXMATCH(LOWER(A331),""interview|journey|talks|wisdom""),""Expert Interview / Trading Insights"",
REGEXMATCH(LOWER(A331),""risk|loss|drawdown|psychology""),""Trading Psychology / Risk Management"",
REGEXMATCH(LOWER(A331),""comm"&amp;"odity|crude|gold|natural gas""),""Commodity Trading Education"",
TRUE,""General Trading Education""
)
"),"Beginner Trading Education")</f>
        <v>Beginner Trading Education</v>
      </c>
    </row>
    <row r="332" ht="15.75" customHeight="1">
      <c r="A332" s="1" t="s">
        <v>1664</v>
      </c>
      <c r="B332" s="3" t="s">
        <v>1665</v>
      </c>
      <c r="C332" s="1" t="s">
        <v>1666</v>
      </c>
      <c r="D332" s="1" t="s">
        <v>1667</v>
      </c>
      <c r="E332" s="4">
        <v>45041.0</v>
      </c>
      <c r="F332" s="5">
        <v>0.4083333333333333</v>
      </c>
      <c r="G332" s="1">
        <v>32100.0</v>
      </c>
      <c r="H332" s="1">
        <v>1182.0</v>
      </c>
      <c r="I332" s="1">
        <v>37.0</v>
      </c>
      <c r="J332" s="3" t="s">
        <v>1668</v>
      </c>
      <c r="K332" s="6">
        <f t="shared" si="1"/>
        <v>3.797507788</v>
      </c>
      <c r="L332" s="7">
        <f t="shared" si="2"/>
        <v>588</v>
      </c>
      <c r="M332" s="8">
        <f t="shared" si="3"/>
        <v>45040</v>
      </c>
      <c r="N332" s="9" t="str">
        <f>IFERROR(__xludf.DUMMYFUNCTION("IFS(
REGEXMATCH(LOWER(A332),""option|options""),""Options Strategy Education"",
REGEXMATCH(LOWER(A332),""bank nifty|nifty|index""),""Index Options"",
REGEXMATCH(LOWER(A332),""algo|api|systematic""),""Algo Trading / API Tutorial"",
REGEXMATCH(LOWER(A332),"&amp;"""groww|mtf|margin|pledge""),""Platform / Groww Feature Tutorial"",
REGEXMATCH(LOWER(A332),""candlestick|chart|price action|trendline|rsi|indicator""),""Technical Analysis / Chart Patterns"",
REGEXMATCH(LOWER(A332),""beginner|guide|start trading""),""Begi"&amp;"nner Trading Education"",
REGEXMATCH(LOWER(A332),""interview|journey|talks|wisdom""),""Expert Interview / Trading Insights"",
REGEXMATCH(LOWER(A332),""risk|loss|drawdown|psychology""),""Trading Psychology / Risk Management"",
REGEXMATCH(LOWER(A332),""comm"&amp;"odity|crude|gold|natural gas""),""Commodity Trading Education"",
TRUE,""General Trading Education""
)
"),"Options Strategy Education")</f>
        <v>Options Strategy Education</v>
      </c>
    </row>
    <row r="333" ht="15.75" customHeight="1">
      <c r="A333" s="1" t="s">
        <v>1669</v>
      </c>
      <c r="B333" s="3" t="s">
        <v>1670</v>
      </c>
      <c r="C333" s="1" t="s">
        <v>1671</v>
      </c>
      <c r="D333" s="1" t="s">
        <v>1672</v>
      </c>
      <c r="E333" s="4">
        <v>45039.0</v>
      </c>
      <c r="F333" s="10">
        <v>1.1833333333333333</v>
      </c>
      <c r="G333" s="1">
        <v>17596.0</v>
      </c>
      <c r="H333" s="1">
        <v>617.0</v>
      </c>
      <c r="I333" s="1">
        <v>19.0</v>
      </c>
      <c r="J333" s="3" t="s">
        <v>1673</v>
      </c>
      <c r="K333" s="6">
        <f t="shared" si="1"/>
        <v>3.614457831</v>
      </c>
      <c r="L333" s="7">
        <f t="shared" si="2"/>
        <v>1704</v>
      </c>
      <c r="M333" s="8">
        <f t="shared" si="3"/>
        <v>45033</v>
      </c>
      <c r="N333" s="9" t="str">
        <f>IFERROR(__xludf.DUMMYFUNCTION("IFS(
REGEXMATCH(LOWER(A333),""option|options""),""Options Strategy Education"",
REGEXMATCH(LOWER(A333),""bank nifty|nifty|index""),""Index Options"",
REGEXMATCH(LOWER(A333),""algo|api|systematic""),""Algo Trading / API Tutorial"",
REGEXMATCH(LOWER(A333),"&amp;"""groww|mtf|margin|pledge""),""Platform / Groww Feature Tutorial"",
REGEXMATCH(LOWER(A333),""candlestick|chart|price action|trendline|rsi|indicator""),""Technical Analysis / Chart Patterns"",
REGEXMATCH(LOWER(A333),""beginner|guide|start trading""),""Begi"&amp;"nner Trading Education"",
REGEXMATCH(LOWER(A333),""interview|journey|talks|wisdom""),""Expert Interview / Trading Insights"",
REGEXMATCH(LOWER(A333),""risk|loss|drawdown|psychology""),""Trading Psychology / Risk Management"",
REGEXMATCH(LOWER(A333),""comm"&amp;"odity|crude|gold|natural gas""),""Commodity Trading Education"",
TRUE,""General Trading Education""
)
"),"General Trading Education")</f>
        <v>General Trading Education</v>
      </c>
    </row>
    <row r="334" ht="15.75" customHeight="1">
      <c r="A334" s="1" t="s">
        <v>1674</v>
      </c>
      <c r="B334" s="3" t="s">
        <v>1675</v>
      </c>
      <c r="C334" s="1" t="s">
        <v>1676</v>
      </c>
      <c r="D334" s="1" t="s">
        <v>1677</v>
      </c>
      <c r="E334" s="4">
        <v>45036.0</v>
      </c>
      <c r="F334" s="5">
        <v>0.5027777777777778</v>
      </c>
      <c r="G334" s="1">
        <v>24770.0</v>
      </c>
      <c r="H334" s="1">
        <v>935.0</v>
      </c>
      <c r="I334" s="1">
        <v>27.0</v>
      </c>
      <c r="J334" s="3" t="s">
        <v>1678</v>
      </c>
      <c r="K334" s="6">
        <f t="shared" si="1"/>
        <v>3.883730319</v>
      </c>
      <c r="L334" s="7">
        <f t="shared" si="2"/>
        <v>724</v>
      </c>
      <c r="M334" s="8">
        <f t="shared" si="3"/>
        <v>45033</v>
      </c>
      <c r="N334" s="9" t="str">
        <f>IFERROR(__xludf.DUMMYFUNCTION("IFS(
REGEXMATCH(LOWER(A334),""option|options""),""Options Strategy Education"",
REGEXMATCH(LOWER(A334),""bank nifty|nifty|index""),""Index Options"",
REGEXMATCH(LOWER(A334),""algo|api|systematic""),""Algo Trading / API Tutorial"",
REGEXMATCH(LOWER(A334),"&amp;"""groww|mtf|margin|pledge""),""Platform / Groww Feature Tutorial"",
REGEXMATCH(LOWER(A334),""candlestick|chart|price action|trendline|rsi|indicator""),""Technical Analysis / Chart Patterns"",
REGEXMATCH(LOWER(A334),""beginner|guide|start trading""),""Begi"&amp;"nner Trading Education"",
REGEXMATCH(LOWER(A334),""interview|journey|talks|wisdom""),""Expert Interview / Trading Insights"",
REGEXMATCH(LOWER(A334),""risk|loss|drawdown|psychology""),""Trading Psychology / Risk Management"",
REGEXMATCH(LOWER(A334),""comm"&amp;"odity|crude|gold|natural gas""),""Commodity Trading Education"",
TRUE,""General Trading Education""
)
"),"Options Strategy Education")</f>
        <v>Options Strategy Education</v>
      </c>
    </row>
    <row r="335" ht="15.75" customHeight="1">
      <c r="A335" s="1" t="s">
        <v>1679</v>
      </c>
      <c r="B335" s="3" t="s">
        <v>1680</v>
      </c>
      <c r="C335" s="1" t="s">
        <v>1681</v>
      </c>
      <c r="D335" s="1" t="s">
        <v>1682</v>
      </c>
      <c r="E335" s="4">
        <v>45034.0</v>
      </c>
      <c r="F335" s="5">
        <v>0.5847222222222223</v>
      </c>
      <c r="G335" s="1">
        <v>22840.0</v>
      </c>
      <c r="H335" s="1">
        <v>1008.0</v>
      </c>
      <c r="I335" s="1">
        <v>37.0</v>
      </c>
      <c r="J335" s="3" t="s">
        <v>1683</v>
      </c>
      <c r="K335" s="6">
        <f t="shared" si="1"/>
        <v>4.57530648</v>
      </c>
      <c r="L335" s="7">
        <f t="shared" si="2"/>
        <v>842</v>
      </c>
      <c r="M335" s="8">
        <f t="shared" si="3"/>
        <v>45033</v>
      </c>
      <c r="N335" s="9" t="str">
        <f>IFERROR(__xludf.DUMMYFUNCTION("IFS(
REGEXMATCH(LOWER(A335),""option|options""),""Options Strategy Education"",
REGEXMATCH(LOWER(A335),""bank nifty|nifty|index""),""Index Options"",
REGEXMATCH(LOWER(A335),""algo|api|systematic""),""Algo Trading / API Tutorial"",
REGEXMATCH(LOWER(A335),"&amp;"""groww|mtf|margin|pledge""),""Platform / Groww Feature Tutorial"",
REGEXMATCH(LOWER(A335),""candlestick|chart|price action|trendline|rsi|indicator""),""Technical Analysis / Chart Patterns"",
REGEXMATCH(LOWER(A335),""beginner|guide|start trading""),""Begi"&amp;"nner Trading Education"",
REGEXMATCH(LOWER(A335),""interview|journey|talks|wisdom""),""Expert Interview / Trading Insights"",
REGEXMATCH(LOWER(A335),""risk|loss|drawdown|psychology""),""Trading Psychology / Risk Management"",
REGEXMATCH(LOWER(A335),""comm"&amp;"odity|crude|gold|natural gas""),""Commodity Trading Education"",
TRUE,""General Trading Education""
)
"),"Platform / Groww Feature Tutorial")</f>
        <v>Platform / Groww Feature Tutorial</v>
      </c>
    </row>
    <row r="336" ht="15.75" customHeight="1">
      <c r="A336" s="1" t="s">
        <v>1684</v>
      </c>
      <c r="B336" s="3" t="s">
        <v>1685</v>
      </c>
      <c r="C336" s="1" t="s">
        <v>1686</v>
      </c>
      <c r="D336" s="1" t="s">
        <v>1687</v>
      </c>
      <c r="E336" s="4">
        <v>45032.0</v>
      </c>
      <c r="F336" s="10">
        <v>2.236111111111111</v>
      </c>
      <c r="G336" s="1">
        <v>39507.0</v>
      </c>
      <c r="H336" s="1">
        <v>1169.0</v>
      </c>
      <c r="I336" s="1">
        <v>27.0</v>
      </c>
      <c r="J336" s="3" t="s">
        <v>1688</v>
      </c>
      <c r="K336" s="6">
        <f t="shared" si="1"/>
        <v>3.027311616</v>
      </c>
      <c r="L336" s="7">
        <f t="shared" si="2"/>
        <v>3220</v>
      </c>
      <c r="M336" s="8">
        <f t="shared" si="3"/>
        <v>45026</v>
      </c>
      <c r="N336" s="9" t="str">
        <f>IFERROR(__xludf.DUMMYFUNCTION("IFS(
REGEXMATCH(LOWER(A336),""option|options""),""Options Strategy Education"",
REGEXMATCH(LOWER(A336),""bank nifty|nifty|index""),""Index Options"",
REGEXMATCH(LOWER(A336),""algo|api|systematic""),""Algo Trading / API Tutorial"",
REGEXMATCH(LOWER(A336),"&amp;"""groww|mtf|margin|pledge""),""Platform / Groww Feature Tutorial"",
REGEXMATCH(LOWER(A336),""candlestick|chart|price action|trendline|rsi|indicator""),""Technical Analysis / Chart Patterns"",
REGEXMATCH(LOWER(A336),""beginner|guide|start trading""),""Begi"&amp;"nner Trading Education"",
REGEXMATCH(LOWER(A336),""interview|journey|talks|wisdom""),""Expert Interview / Trading Insights"",
REGEXMATCH(LOWER(A336),""risk|loss|drawdown|psychology""),""Trading Psychology / Risk Management"",
REGEXMATCH(LOWER(A336),""comm"&amp;"odity|crude|gold|natural gas""),""Commodity Trading Education"",
TRUE,""General Trading Education""
)
"),"Beginner Trading Education")</f>
        <v>Beginner Trading Education</v>
      </c>
    </row>
    <row r="337" ht="15.75" customHeight="1">
      <c r="A337" s="1" t="s">
        <v>1689</v>
      </c>
      <c r="B337" s="3" t="s">
        <v>1690</v>
      </c>
      <c r="C337" s="1" t="s">
        <v>1691</v>
      </c>
      <c r="D337" s="1" t="s">
        <v>1692</v>
      </c>
      <c r="E337" s="4">
        <v>45029.0</v>
      </c>
      <c r="F337" s="5">
        <v>0.31319444444444444</v>
      </c>
      <c r="G337" s="1">
        <v>19167.0</v>
      </c>
      <c r="H337" s="1">
        <v>1037.0</v>
      </c>
      <c r="I337" s="1">
        <v>14.0</v>
      </c>
      <c r="J337" s="3" t="s">
        <v>1693</v>
      </c>
      <c r="K337" s="6">
        <f t="shared" si="1"/>
        <v>5.483382898</v>
      </c>
      <c r="L337" s="7">
        <f t="shared" si="2"/>
        <v>451</v>
      </c>
      <c r="M337" s="8">
        <f t="shared" si="3"/>
        <v>45026</v>
      </c>
      <c r="N337" s="9" t="str">
        <f>IFERROR(__xludf.DUMMYFUNCTION("IFS(
REGEXMATCH(LOWER(A337),""option|options""),""Options Strategy Education"",
REGEXMATCH(LOWER(A337),""bank nifty|nifty|index""),""Index Options"",
REGEXMATCH(LOWER(A337),""algo|api|systematic""),""Algo Trading / API Tutorial"",
REGEXMATCH(LOWER(A337),"&amp;"""groww|mtf|margin|pledge""),""Platform / Groww Feature Tutorial"",
REGEXMATCH(LOWER(A337),""candlestick|chart|price action|trendline|rsi|indicator""),""Technical Analysis / Chart Patterns"",
REGEXMATCH(LOWER(A337),""beginner|guide|start trading""),""Begi"&amp;"nner Trading Education"",
REGEXMATCH(LOWER(A337),""interview|journey|talks|wisdom""),""Expert Interview / Trading Insights"",
REGEXMATCH(LOWER(A337),""risk|loss|drawdown|psychology""),""Trading Psychology / Risk Management"",
REGEXMATCH(LOWER(A337),""comm"&amp;"odity|crude|gold|natural gas""),""Commodity Trading Education"",
TRUE,""General Trading Education""
)
"),"General Trading Education")</f>
        <v>General Trading Education</v>
      </c>
    </row>
    <row r="338" ht="15.75" customHeight="1">
      <c r="A338" s="1" t="s">
        <v>1694</v>
      </c>
      <c r="B338" s="3" t="s">
        <v>1695</v>
      </c>
      <c r="C338" s="1" t="s">
        <v>1696</v>
      </c>
      <c r="D338" s="1" t="s">
        <v>1697</v>
      </c>
      <c r="E338" s="4">
        <v>45027.0</v>
      </c>
      <c r="F338" s="5">
        <v>0.7486111111111111</v>
      </c>
      <c r="G338" s="1">
        <v>59211.0</v>
      </c>
      <c r="H338" s="1">
        <v>1661.0</v>
      </c>
      <c r="I338" s="1">
        <v>41.0</v>
      </c>
      <c r="J338" s="3" t="s">
        <v>1698</v>
      </c>
      <c r="K338" s="6">
        <f t="shared" si="1"/>
        <v>2.874465893</v>
      </c>
      <c r="L338" s="7">
        <f t="shared" si="2"/>
        <v>1078</v>
      </c>
      <c r="M338" s="8">
        <f t="shared" si="3"/>
        <v>45026</v>
      </c>
      <c r="N338" s="9" t="str">
        <f>IFERROR(__xludf.DUMMYFUNCTION("IFS(
REGEXMATCH(LOWER(A338),""option|options""),""Options Strategy Education"",
REGEXMATCH(LOWER(A338),""bank nifty|nifty|index""),""Index Options"",
REGEXMATCH(LOWER(A338),""algo|api|systematic""),""Algo Trading / API Tutorial"",
REGEXMATCH(LOWER(A338),"&amp;"""groww|mtf|margin|pledge""),""Platform / Groww Feature Tutorial"",
REGEXMATCH(LOWER(A338),""candlestick|chart|price action|trendline|rsi|indicator""),""Technical Analysis / Chart Patterns"",
REGEXMATCH(LOWER(A338),""beginner|guide|start trading""),""Begi"&amp;"nner Trading Education"",
REGEXMATCH(LOWER(A338),""interview|journey|talks|wisdom""),""Expert Interview / Trading Insights"",
REGEXMATCH(LOWER(A338),""risk|loss|drawdown|psychology""),""Trading Psychology / Risk Management"",
REGEXMATCH(LOWER(A338),""comm"&amp;"odity|crude|gold|natural gas""),""Commodity Trading Education"",
TRUE,""General Trading Education""
)
"),"Options Strategy Education")</f>
        <v>Options Strategy Education</v>
      </c>
    </row>
    <row r="339" ht="15.75" customHeight="1">
      <c r="A339" s="1" t="s">
        <v>1699</v>
      </c>
      <c r="B339" s="3" t="s">
        <v>1700</v>
      </c>
      <c r="C339" s="1" t="s">
        <v>1701</v>
      </c>
      <c r="D339" s="1" t="s">
        <v>1702</v>
      </c>
      <c r="E339" s="4">
        <v>45025.0</v>
      </c>
      <c r="F339" s="10">
        <v>1.7166666666666666</v>
      </c>
      <c r="G339" s="1">
        <v>11788.0</v>
      </c>
      <c r="H339" s="1">
        <v>407.0</v>
      </c>
      <c r="I339" s="1">
        <v>9.0</v>
      </c>
      <c r="J339" s="3" t="s">
        <v>1703</v>
      </c>
      <c r="K339" s="6">
        <f t="shared" si="1"/>
        <v>3.529012555</v>
      </c>
      <c r="L339" s="7">
        <f t="shared" si="2"/>
        <v>2472</v>
      </c>
      <c r="M339" s="8">
        <f t="shared" si="3"/>
        <v>45019</v>
      </c>
      <c r="N339" s="9" t="str">
        <f>IFERROR(__xludf.DUMMYFUNCTION("IFS(
REGEXMATCH(LOWER(A339),""option|options""),""Options Strategy Education"",
REGEXMATCH(LOWER(A339),""bank nifty|nifty|index""),""Index Options"",
REGEXMATCH(LOWER(A339),""algo|api|systematic""),""Algo Trading / API Tutorial"",
REGEXMATCH(LOWER(A339),"&amp;"""groww|mtf|margin|pledge""),""Platform / Groww Feature Tutorial"",
REGEXMATCH(LOWER(A339),""candlestick|chart|price action|trendline|rsi|indicator""),""Technical Analysis / Chart Patterns"",
REGEXMATCH(LOWER(A339),""beginner|guide|start trading""),""Begi"&amp;"nner Trading Education"",
REGEXMATCH(LOWER(A339),""interview|journey|talks|wisdom""),""Expert Interview / Trading Insights"",
REGEXMATCH(LOWER(A339),""risk|loss|drawdown|psychology""),""Trading Psychology / Risk Management"",
REGEXMATCH(LOWER(A339),""comm"&amp;"odity|crude|gold|natural gas""),""Commodity Trading Education"",
TRUE,""General Trading Education""
)
"),"Options Strategy Education")</f>
        <v>Options Strategy Education</v>
      </c>
    </row>
    <row r="340" ht="15.75" customHeight="1">
      <c r="A340" s="1" t="s">
        <v>1704</v>
      </c>
      <c r="B340" s="3" t="s">
        <v>1705</v>
      </c>
      <c r="C340" s="1" t="s">
        <v>1706</v>
      </c>
      <c r="D340" s="1" t="s">
        <v>1707</v>
      </c>
      <c r="E340" s="4">
        <v>45022.0</v>
      </c>
      <c r="F340" s="5">
        <v>0.4576388888888889</v>
      </c>
      <c r="G340" s="1">
        <v>289133.0</v>
      </c>
      <c r="H340" s="1">
        <v>5529.0</v>
      </c>
      <c r="I340" s="1">
        <v>172.0</v>
      </c>
      <c r="J340" s="3" t="s">
        <v>1708</v>
      </c>
      <c r="K340" s="6">
        <f t="shared" si="1"/>
        <v>1.971756942</v>
      </c>
      <c r="L340" s="7">
        <f t="shared" si="2"/>
        <v>659</v>
      </c>
      <c r="M340" s="8">
        <f t="shared" si="3"/>
        <v>45019</v>
      </c>
      <c r="N340" s="9" t="str">
        <f>IFERROR(__xludf.DUMMYFUNCTION("IFS(
REGEXMATCH(LOWER(A340),""option|options""),""Options Strategy Education"",
REGEXMATCH(LOWER(A340),""bank nifty|nifty|index""),""Index Options"",
REGEXMATCH(LOWER(A340),""algo|api|systematic""),""Algo Trading / API Tutorial"",
REGEXMATCH(LOWER(A340),"&amp;"""groww|mtf|margin|pledge""),""Platform / Groww Feature Tutorial"",
REGEXMATCH(LOWER(A340),""candlestick|chart|price action|trendline|rsi|indicator""),""Technical Analysis / Chart Patterns"",
REGEXMATCH(LOWER(A340),""beginner|guide|start trading""),""Begi"&amp;"nner Trading Education"",
REGEXMATCH(LOWER(A340),""interview|journey|talks|wisdom""),""Expert Interview / Trading Insights"",
REGEXMATCH(LOWER(A340),""risk|loss|drawdown|psychology""),""Trading Psychology / Risk Management"",
REGEXMATCH(LOWER(A340),""comm"&amp;"odity|crude|gold|natural gas""),""Commodity Trading Education"",
TRUE,""General Trading Education""
)
"),"Platform / Groww Feature Tutorial")</f>
        <v>Platform / Groww Feature Tutorial</v>
      </c>
    </row>
    <row r="341" ht="15.75" customHeight="1">
      <c r="A341" s="1" t="s">
        <v>1709</v>
      </c>
      <c r="B341" s="3" t="s">
        <v>1710</v>
      </c>
      <c r="C341" s="1" t="s">
        <v>1711</v>
      </c>
      <c r="D341" s="1" t="s">
        <v>1712</v>
      </c>
      <c r="E341" s="4">
        <v>45020.0</v>
      </c>
      <c r="F341" s="5">
        <v>0.5173611111111112</v>
      </c>
      <c r="G341" s="1">
        <v>100721.0</v>
      </c>
      <c r="H341" s="1">
        <v>3529.0</v>
      </c>
      <c r="I341" s="1">
        <v>99.0</v>
      </c>
      <c r="J341" s="3" t="s">
        <v>1713</v>
      </c>
      <c r="K341" s="6">
        <f t="shared" si="1"/>
        <v>3.602029368</v>
      </c>
      <c r="L341" s="7">
        <f t="shared" si="2"/>
        <v>745</v>
      </c>
      <c r="M341" s="8">
        <f t="shared" si="3"/>
        <v>45019</v>
      </c>
      <c r="N341" s="9" t="str">
        <f>IFERROR(__xludf.DUMMYFUNCTION("IFS(
REGEXMATCH(LOWER(A341),""option|options""),""Options Strategy Education"",
REGEXMATCH(LOWER(A341),""bank nifty|nifty|index""),""Index Options"",
REGEXMATCH(LOWER(A341),""algo|api|systematic""),""Algo Trading / API Tutorial"",
REGEXMATCH(LOWER(A341),"&amp;"""groww|mtf|margin|pledge""),""Platform / Groww Feature Tutorial"",
REGEXMATCH(LOWER(A341),""candlestick|chart|price action|trendline|rsi|indicator""),""Technical Analysis / Chart Patterns"",
REGEXMATCH(LOWER(A341),""beginner|guide|start trading""),""Begi"&amp;"nner Trading Education"",
REGEXMATCH(LOWER(A341),""interview|journey|talks|wisdom""),""Expert Interview / Trading Insights"",
REGEXMATCH(LOWER(A341),""risk|loss|drawdown|psychology""),""Trading Psychology / Risk Management"",
REGEXMATCH(LOWER(A341),""comm"&amp;"odity|crude|gold|natural gas""),""Commodity Trading Education"",
TRUE,""General Trading Education""
)
"),"Options Strategy Education")</f>
        <v>Options Strategy Education</v>
      </c>
    </row>
    <row r="342" ht="15.75" customHeight="1">
      <c r="A342" s="1" t="s">
        <v>1714</v>
      </c>
      <c r="B342" s="3" t="s">
        <v>1715</v>
      </c>
      <c r="C342" s="1" t="s">
        <v>1716</v>
      </c>
      <c r="D342" s="1" t="s">
        <v>1717</v>
      </c>
      <c r="E342" s="4">
        <v>45017.0</v>
      </c>
      <c r="F342" s="10">
        <v>1.5395833333333333</v>
      </c>
      <c r="G342" s="1">
        <v>164723.0</v>
      </c>
      <c r="H342" s="1">
        <v>4217.0</v>
      </c>
      <c r="I342" s="1">
        <v>77.0</v>
      </c>
      <c r="J342" s="3" t="s">
        <v>1718</v>
      </c>
      <c r="K342" s="6">
        <f t="shared" si="1"/>
        <v>2.606800508</v>
      </c>
      <c r="L342" s="7">
        <f t="shared" si="2"/>
        <v>2217</v>
      </c>
      <c r="M342" s="8">
        <f t="shared" si="3"/>
        <v>45012</v>
      </c>
      <c r="N342" s="9" t="str">
        <f>IFERROR(__xludf.DUMMYFUNCTION("IFS(
REGEXMATCH(LOWER(A342),""option|options""),""Options Strategy Education"",
REGEXMATCH(LOWER(A342),""bank nifty|nifty|index""),""Index Options"",
REGEXMATCH(LOWER(A342),""algo|api|systematic""),""Algo Trading / API Tutorial"",
REGEXMATCH(LOWER(A342),"&amp;"""groww|mtf|margin|pledge""),""Platform / Groww Feature Tutorial"",
REGEXMATCH(LOWER(A342),""candlestick|chart|price action|trendline|rsi|indicator""),""Technical Analysis / Chart Patterns"",
REGEXMATCH(LOWER(A342),""beginner|guide|start trading""),""Begi"&amp;"nner Trading Education"",
REGEXMATCH(LOWER(A342),""interview|journey|talks|wisdom""),""Expert Interview / Trading Insights"",
REGEXMATCH(LOWER(A342),""risk|loss|drawdown|psychology""),""Trading Psychology / Risk Management"",
REGEXMATCH(LOWER(A342),""comm"&amp;"odity|crude|gold|natural gas""),""Commodity Trading Education"",
TRUE,""General Trading Education""
)
"),"Technical Analysis / Chart Patterns")</f>
        <v>Technical Analysis / Chart Patterns</v>
      </c>
    </row>
    <row r="343" ht="15.75" customHeight="1">
      <c r="A343" s="1" t="s">
        <v>1719</v>
      </c>
      <c r="B343" s="3" t="s">
        <v>1720</v>
      </c>
      <c r="C343" s="1" t="s">
        <v>1721</v>
      </c>
      <c r="D343" s="1" t="s">
        <v>1722</v>
      </c>
      <c r="E343" s="4">
        <v>45015.0</v>
      </c>
      <c r="F343" s="5">
        <v>0.6784722222222223</v>
      </c>
      <c r="G343" s="1">
        <v>80325.0</v>
      </c>
      <c r="H343" s="1">
        <v>2523.0</v>
      </c>
      <c r="I343" s="1">
        <v>56.0</v>
      </c>
      <c r="J343" s="3" t="s">
        <v>1723</v>
      </c>
      <c r="K343" s="6">
        <f t="shared" si="1"/>
        <v>3.210706505</v>
      </c>
      <c r="L343" s="7">
        <f t="shared" si="2"/>
        <v>977</v>
      </c>
      <c r="M343" s="8">
        <f t="shared" si="3"/>
        <v>45012</v>
      </c>
      <c r="N343" s="9" t="str">
        <f>IFERROR(__xludf.DUMMYFUNCTION("IFS(
REGEXMATCH(LOWER(A343),""option|options""),""Options Strategy Education"",
REGEXMATCH(LOWER(A343),""bank nifty|nifty|index""),""Index Options"",
REGEXMATCH(LOWER(A343),""algo|api|systematic""),""Algo Trading / API Tutorial"",
REGEXMATCH(LOWER(A343),"&amp;"""groww|mtf|margin|pledge""),""Platform / Groww Feature Tutorial"",
REGEXMATCH(LOWER(A343),""candlestick|chart|price action|trendline|rsi|indicator""),""Technical Analysis / Chart Patterns"",
REGEXMATCH(LOWER(A343),""beginner|guide|start trading""),""Begi"&amp;"nner Trading Education"",
REGEXMATCH(LOWER(A343),""interview|journey|talks|wisdom""),""Expert Interview / Trading Insights"",
REGEXMATCH(LOWER(A343),""risk|loss|drawdown|psychology""),""Trading Psychology / Risk Management"",
REGEXMATCH(LOWER(A343),""comm"&amp;"odity|crude|gold|natural gas""),""Commodity Trading Education"",
TRUE,""General Trading Education""
)
"),"General Trading Education")</f>
        <v>General Trading Education</v>
      </c>
    </row>
    <row r="344" ht="15.75" customHeight="1">
      <c r="A344" s="1" t="s">
        <v>1724</v>
      </c>
      <c r="B344" s="3" t="s">
        <v>1725</v>
      </c>
      <c r="C344" s="1" t="s">
        <v>1726</v>
      </c>
      <c r="D344" s="1" t="s">
        <v>1727</v>
      </c>
      <c r="E344" s="4">
        <v>45012.0</v>
      </c>
      <c r="F344" s="5">
        <v>0.3576388888888889</v>
      </c>
      <c r="G344" s="1">
        <v>6378.0</v>
      </c>
      <c r="H344" s="1">
        <v>302.0</v>
      </c>
      <c r="I344" s="1">
        <v>3.0</v>
      </c>
      <c r="J344" s="3" t="s">
        <v>1728</v>
      </c>
      <c r="K344" s="6">
        <f t="shared" si="1"/>
        <v>4.782063343</v>
      </c>
      <c r="L344" s="7">
        <f t="shared" si="2"/>
        <v>515</v>
      </c>
      <c r="M344" s="8">
        <f t="shared" si="3"/>
        <v>45012</v>
      </c>
      <c r="N344" s="9" t="str">
        <f>IFERROR(__xludf.DUMMYFUNCTION("IFS(
REGEXMATCH(LOWER(A344),""option|options""),""Options Strategy Education"",
REGEXMATCH(LOWER(A344),""bank nifty|nifty|index""),""Index Options"",
REGEXMATCH(LOWER(A344),""algo|api|systematic""),""Algo Trading / API Tutorial"",
REGEXMATCH(LOWER(A344),"&amp;"""groww|mtf|margin|pledge""),""Platform / Groww Feature Tutorial"",
REGEXMATCH(LOWER(A344),""candlestick|chart|price action|trendline|rsi|indicator""),""Technical Analysis / Chart Patterns"",
REGEXMATCH(LOWER(A344),""beginner|guide|start trading""),""Begi"&amp;"nner Trading Education"",
REGEXMATCH(LOWER(A344),""interview|journey|talks|wisdom""),""Expert Interview / Trading Insights"",
REGEXMATCH(LOWER(A344),""risk|loss|drawdown|psychology""),""Trading Psychology / Risk Management"",
REGEXMATCH(LOWER(A344),""comm"&amp;"odity|crude|gold|natural gas""),""Commodity Trading Education"",
TRUE,""General Trading Education""
)
"),"Options Strategy Education")</f>
        <v>Options Strategy Education</v>
      </c>
    </row>
    <row r="345" ht="15.75" customHeight="1">
      <c r="A345" s="1" t="s">
        <v>1729</v>
      </c>
      <c r="B345" s="3" t="s">
        <v>1730</v>
      </c>
      <c r="C345" s="1" t="s">
        <v>1731</v>
      </c>
      <c r="D345" s="1" t="s">
        <v>1732</v>
      </c>
      <c r="E345" s="4">
        <v>45008.0</v>
      </c>
      <c r="F345" s="5">
        <v>0.6020833333333333</v>
      </c>
      <c r="G345" s="1">
        <v>74580.0</v>
      </c>
      <c r="H345" s="1">
        <v>2784.0</v>
      </c>
      <c r="I345" s="1">
        <v>58.0</v>
      </c>
      <c r="J345" s="3" t="s">
        <v>1733</v>
      </c>
      <c r="K345" s="6">
        <f t="shared" si="1"/>
        <v>3.810673103</v>
      </c>
      <c r="L345" s="7">
        <f t="shared" si="2"/>
        <v>867</v>
      </c>
      <c r="M345" s="8">
        <f t="shared" si="3"/>
        <v>45005</v>
      </c>
      <c r="N345" s="9" t="str">
        <f>IFERROR(__xludf.DUMMYFUNCTION("IFS(
REGEXMATCH(LOWER(A345),""option|options""),""Options Strategy Education"",
REGEXMATCH(LOWER(A345),""bank nifty|nifty|index""),""Index Options"",
REGEXMATCH(LOWER(A345),""algo|api|systematic""),""Algo Trading / API Tutorial"",
REGEXMATCH(LOWER(A345),"&amp;"""groww|mtf|margin|pledge""),""Platform / Groww Feature Tutorial"",
REGEXMATCH(LOWER(A345),""candlestick|chart|price action|trendline|rsi|indicator""),""Technical Analysis / Chart Patterns"",
REGEXMATCH(LOWER(A345),""beginner|guide|start trading""),""Begi"&amp;"nner Trading Education"",
REGEXMATCH(LOWER(A345),""interview|journey|talks|wisdom""),""Expert Interview / Trading Insights"",
REGEXMATCH(LOWER(A345),""risk|loss|drawdown|psychology""),""Trading Psychology / Risk Management"",
REGEXMATCH(LOWER(A345),""comm"&amp;"odity|crude|gold|natural gas""),""Commodity Trading Education"",
TRUE,""General Trading Education""
)
"),"Technical Analysis / Chart Patterns")</f>
        <v>Technical Analysis / Chart Patterns</v>
      </c>
    </row>
    <row r="346" ht="15.75" customHeight="1">
      <c r="A346" s="1" t="s">
        <v>1734</v>
      </c>
      <c r="B346" s="3" t="s">
        <v>1735</v>
      </c>
      <c r="C346" s="1" t="s">
        <v>1736</v>
      </c>
      <c r="D346" s="1" t="s">
        <v>1737</v>
      </c>
      <c r="E346" s="4">
        <v>45006.0</v>
      </c>
      <c r="F346" s="5">
        <v>0.6104166666666667</v>
      </c>
      <c r="G346" s="1">
        <v>106400.0</v>
      </c>
      <c r="H346" s="1">
        <v>4244.0</v>
      </c>
      <c r="I346" s="1">
        <v>98.0</v>
      </c>
      <c r="J346" s="3" t="s">
        <v>1738</v>
      </c>
      <c r="K346" s="6">
        <f t="shared" si="1"/>
        <v>4.080827068</v>
      </c>
      <c r="L346" s="7">
        <f t="shared" si="2"/>
        <v>879</v>
      </c>
      <c r="M346" s="8">
        <f t="shared" si="3"/>
        <v>45005</v>
      </c>
      <c r="N346" s="9" t="str">
        <f>IFERROR(__xludf.DUMMYFUNCTION("IFS(
REGEXMATCH(LOWER(A346),""option|options""),""Options Strategy Education"",
REGEXMATCH(LOWER(A346),""bank nifty|nifty|index""),""Index Options"",
REGEXMATCH(LOWER(A346),""algo|api|systematic""),""Algo Trading / API Tutorial"",
REGEXMATCH(LOWER(A346),"&amp;"""groww|mtf|margin|pledge""),""Platform / Groww Feature Tutorial"",
REGEXMATCH(LOWER(A346),""candlestick|chart|price action|trendline|rsi|indicator""),""Technical Analysis / Chart Patterns"",
REGEXMATCH(LOWER(A346),""beginner|guide|start trading""),""Begi"&amp;"nner Trading Education"",
REGEXMATCH(LOWER(A346),""interview|journey|talks|wisdom""),""Expert Interview / Trading Insights"",
REGEXMATCH(LOWER(A346),""risk|loss|drawdown|psychology""),""Trading Psychology / Risk Management"",
REGEXMATCH(LOWER(A346),""comm"&amp;"odity|crude|gold|natural gas""),""Commodity Trading Education"",
TRUE,""General Trading Education""
)
"),"General Trading Education")</f>
        <v>General Trading Education</v>
      </c>
    </row>
    <row r="347" ht="15.75" customHeight="1">
      <c r="A347" s="1" t="s">
        <v>1739</v>
      </c>
      <c r="B347" s="3" t="s">
        <v>1740</v>
      </c>
      <c r="C347" s="1" t="s">
        <v>1741</v>
      </c>
      <c r="D347" s="1" t="s">
        <v>1742</v>
      </c>
      <c r="E347" s="4">
        <v>45003.0</v>
      </c>
      <c r="F347" s="10">
        <v>1.45</v>
      </c>
      <c r="G347" s="1">
        <v>11962.0</v>
      </c>
      <c r="H347" s="1">
        <v>491.0</v>
      </c>
      <c r="I347" s="1">
        <v>23.0</v>
      </c>
      <c r="J347" s="3" t="s">
        <v>1743</v>
      </c>
      <c r="K347" s="6">
        <f t="shared" si="1"/>
        <v>4.296940311</v>
      </c>
      <c r="L347" s="7">
        <f t="shared" si="2"/>
        <v>2088</v>
      </c>
      <c r="M347" s="8">
        <f t="shared" si="3"/>
        <v>44998</v>
      </c>
      <c r="N347" s="9" t="str">
        <f>IFERROR(__xludf.DUMMYFUNCTION("IFS(
REGEXMATCH(LOWER(A347),""option|options""),""Options Strategy Education"",
REGEXMATCH(LOWER(A347),""bank nifty|nifty|index""),""Index Options"",
REGEXMATCH(LOWER(A347),""algo|api|systematic""),""Algo Trading / API Tutorial"",
REGEXMATCH(LOWER(A347),"&amp;"""groww|mtf|margin|pledge""),""Platform / Groww Feature Tutorial"",
REGEXMATCH(LOWER(A347),""candlestick|chart|price action|trendline|rsi|indicator""),""Technical Analysis / Chart Patterns"",
REGEXMATCH(LOWER(A347),""beginner|guide|start trading""),""Begi"&amp;"nner Trading Education"",
REGEXMATCH(LOWER(A347),""interview|journey|talks|wisdom""),""Expert Interview / Trading Insights"",
REGEXMATCH(LOWER(A347),""risk|loss|drawdown|psychology""),""Trading Psychology / Risk Management"",
REGEXMATCH(LOWER(A347),""comm"&amp;"odity|crude|gold|natural gas""),""Commodity Trading Education"",
TRUE,""General Trading Education""
)
"),"Beginner Trading Education")</f>
        <v>Beginner Trading Education</v>
      </c>
    </row>
    <row r="348" ht="15.75" customHeight="1">
      <c r="A348" s="1" t="s">
        <v>1744</v>
      </c>
      <c r="B348" s="3" t="s">
        <v>1745</v>
      </c>
      <c r="C348" s="1" t="s">
        <v>1746</v>
      </c>
      <c r="D348" s="1" t="s">
        <v>1747</v>
      </c>
      <c r="E348" s="4">
        <v>45001.0</v>
      </c>
      <c r="F348" s="5">
        <v>0.5104166666666666</v>
      </c>
      <c r="G348" s="1">
        <v>46681.0</v>
      </c>
      <c r="H348" s="1">
        <v>2025.0</v>
      </c>
      <c r="I348" s="1">
        <v>31.0</v>
      </c>
      <c r="J348" s="3" t="s">
        <v>1748</v>
      </c>
      <c r="K348" s="6">
        <f t="shared" si="1"/>
        <v>4.404361518</v>
      </c>
      <c r="L348" s="7">
        <f t="shared" si="2"/>
        <v>735</v>
      </c>
      <c r="M348" s="8">
        <f t="shared" si="3"/>
        <v>44998</v>
      </c>
      <c r="N348" s="9" t="str">
        <f>IFERROR(__xludf.DUMMYFUNCTION("IFS(
REGEXMATCH(LOWER(A348),""option|options""),""Options Strategy Education"",
REGEXMATCH(LOWER(A348),""bank nifty|nifty|index""),""Index Options"",
REGEXMATCH(LOWER(A348),""algo|api|systematic""),""Algo Trading / API Tutorial"",
REGEXMATCH(LOWER(A348),"&amp;"""groww|mtf|margin|pledge""),""Platform / Groww Feature Tutorial"",
REGEXMATCH(LOWER(A348),""candlestick|chart|price action|trendline|rsi|indicator""),""Technical Analysis / Chart Patterns"",
REGEXMATCH(LOWER(A348),""beginner|guide|start trading""),""Begi"&amp;"nner Trading Education"",
REGEXMATCH(LOWER(A348),""interview|journey|talks|wisdom""),""Expert Interview / Trading Insights"",
REGEXMATCH(LOWER(A348),""risk|loss|drawdown|psychology""),""Trading Psychology / Risk Management"",
REGEXMATCH(LOWER(A348),""comm"&amp;"odity|crude|gold|natural gas""),""Commodity Trading Education"",
TRUE,""General Trading Education""
)
"),"Options Strategy Education")</f>
        <v>Options Strategy Education</v>
      </c>
    </row>
    <row r="349" ht="15.75" customHeight="1">
      <c r="A349" s="1" t="s">
        <v>1749</v>
      </c>
      <c r="B349" s="3" t="s">
        <v>1750</v>
      </c>
      <c r="C349" s="1" t="s">
        <v>1751</v>
      </c>
      <c r="D349" s="1" t="s">
        <v>1752</v>
      </c>
      <c r="E349" s="4">
        <v>44999.0</v>
      </c>
      <c r="F349" s="5">
        <v>0.6923611111111111</v>
      </c>
      <c r="G349" s="1">
        <v>47207.0</v>
      </c>
      <c r="H349" s="1">
        <v>1463.0</v>
      </c>
      <c r="I349" s="1">
        <v>22.0</v>
      </c>
      <c r="J349" s="3" t="s">
        <v>1753</v>
      </c>
      <c r="K349" s="6">
        <f t="shared" si="1"/>
        <v>3.145719914</v>
      </c>
      <c r="L349" s="7">
        <f t="shared" si="2"/>
        <v>997</v>
      </c>
      <c r="M349" s="8">
        <f t="shared" si="3"/>
        <v>44998</v>
      </c>
      <c r="N349" s="9" t="str">
        <f>IFERROR(__xludf.DUMMYFUNCTION("IFS(
REGEXMATCH(LOWER(A349),""option|options""),""Options Strategy Education"",
REGEXMATCH(LOWER(A349),""bank nifty|nifty|index""),""Index Options"",
REGEXMATCH(LOWER(A349),""algo|api|systematic""),""Algo Trading / API Tutorial"",
REGEXMATCH(LOWER(A349),"&amp;"""groww|mtf|margin|pledge""),""Platform / Groww Feature Tutorial"",
REGEXMATCH(LOWER(A349),""candlestick|chart|price action|trendline|rsi|indicator""),""Technical Analysis / Chart Patterns"",
REGEXMATCH(LOWER(A349),""beginner|guide|start trading""),""Begi"&amp;"nner Trading Education"",
REGEXMATCH(LOWER(A349),""interview|journey|talks|wisdom""),""Expert Interview / Trading Insights"",
REGEXMATCH(LOWER(A349),""risk|loss|drawdown|psychology""),""Trading Psychology / Risk Management"",
REGEXMATCH(LOWER(A349),""comm"&amp;"odity|crude|gold|natural gas""),""Commodity Trading Education"",
TRUE,""General Trading Education""
)
"),"Options Strategy Education")</f>
        <v>Options Strategy Education</v>
      </c>
    </row>
    <row r="350" ht="15.75" customHeight="1">
      <c r="A350" s="1" t="s">
        <v>1754</v>
      </c>
      <c r="B350" s="3" t="s">
        <v>1755</v>
      </c>
      <c r="C350" s="1" t="s">
        <v>1756</v>
      </c>
      <c r="D350" s="1" t="s">
        <v>1757</v>
      </c>
      <c r="E350" s="4">
        <v>44994.0</v>
      </c>
      <c r="F350" s="5">
        <v>0.5888888888888889</v>
      </c>
      <c r="G350" s="1">
        <v>19228.0</v>
      </c>
      <c r="H350" s="1">
        <v>1314.0</v>
      </c>
      <c r="I350" s="1">
        <v>31.0</v>
      </c>
      <c r="J350" s="3" t="s">
        <v>1758</v>
      </c>
      <c r="K350" s="6">
        <f t="shared" si="1"/>
        <v>6.995007281</v>
      </c>
      <c r="L350" s="7">
        <f t="shared" si="2"/>
        <v>848</v>
      </c>
      <c r="M350" s="8">
        <f t="shared" si="3"/>
        <v>44991</v>
      </c>
      <c r="N350" s="9" t="str">
        <f>IFERROR(__xludf.DUMMYFUNCTION("IFS(
REGEXMATCH(LOWER(A350),""option|options""),""Options Strategy Education"",
REGEXMATCH(LOWER(A350),""bank nifty|nifty|index""),""Index Options"",
REGEXMATCH(LOWER(A350),""algo|api|systematic""),""Algo Trading / API Tutorial"",
REGEXMATCH(LOWER(A350),"&amp;"""groww|mtf|margin|pledge""),""Platform / Groww Feature Tutorial"",
REGEXMATCH(LOWER(A350),""candlestick|chart|price action|trendline|rsi|indicator""),""Technical Analysis / Chart Patterns"",
REGEXMATCH(LOWER(A350),""beginner|guide|start trading""),""Begi"&amp;"nner Trading Education"",
REGEXMATCH(LOWER(A350),""interview|journey|talks|wisdom""),""Expert Interview / Trading Insights"",
REGEXMATCH(LOWER(A350),""risk|loss|drawdown|psychology""),""Trading Psychology / Risk Management"",
REGEXMATCH(LOWER(A350),""comm"&amp;"odity|crude|gold|natural gas""),""Commodity Trading Education"",
TRUE,""General Trading Education""
)
"),"General Trading Education")</f>
        <v>General Trading Education</v>
      </c>
    </row>
    <row r="351" ht="15.75" customHeight="1">
      <c r="A351" s="1" t="s">
        <v>1759</v>
      </c>
      <c r="B351" s="3" t="s">
        <v>1760</v>
      </c>
      <c r="C351" s="1" t="s">
        <v>1761</v>
      </c>
      <c r="D351" s="1" t="s">
        <v>1762</v>
      </c>
      <c r="E351" s="4">
        <v>44992.0</v>
      </c>
      <c r="F351" s="5">
        <v>0.725</v>
      </c>
      <c r="G351" s="1">
        <v>9004.0</v>
      </c>
      <c r="H351" s="1">
        <v>358.0</v>
      </c>
      <c r="I351" s="1">
        <v>9.0</v>
      </c>
      <c r="J351" s="3" t="s">
        <v>1763</v>
      </c>
      <c r="K351" s="6">
        <f t="shared" si="1"/>
        <v>4.075966237</v>
      </c>
      <c r="L351" s="7">
        <f t="shared" si="2"/>
        <v>1044</v>
      </c>
      <c r="M351" s="8">
        <f t="shared" si="3"/>
        <v>44991</v>
      </c>
      <c r="N351" s="9" t="str">
        <f>IFERROR(__xludf.DUMMYFUNCTION("IFS(
REGEXMATCH(LOWER(A351),""option|options""),""Options Strategy Education"",
REGEXMATCH(LOWER(A351),""bank nifty|nifty|index""),""Index Options"",
REGEXMATCH(LOWER(A351),""algo|api|systematic""),""Algo Trading / API Tutorial"",
REGEXMATCH(LOWER(A351),"&amp;"""groww|mtf|margin|pledge""),""Platform / Groww Feature Tutorial"",
REGEXMATCH(LOWER(A351),""candlestick|chart|price action|trendline|rsi|indicator""),""Technical Analysis / Chart Patterns"",
REGEXMATCH(LOWER(A351),""beginner|guide|start trading""),""Begi"&amp;"nner Trading Education"",
REGEXMATCH(LOWER(A351),""interview|journey|talks|wisdom""),""Expert Interview / Trading Insights"",
REGEXMATCH(LOWER(A351),""risk|loss|drawdown|psychology""),""Trading Psychology / Risk Management"",
REGEXMATCH(LOWER(A351),""comm"&amp;"odity|crude|gold|natural gas""),""Commodity Trading Education"",
TRUE,""General Trading Education""
)
"),"General Trading Education")</f>
        <v>General Trading Education</v>
      </c>
    </row>
    <row r="352" ht="15.75" customHeight="1">
      <c r="A352" s="1" t="s">
        <v>1764</v>
      </c>
      <c r="B352" s="3" t="s">
        <v>1765</v>
      </c>
      <c r="C352" s="1" t="s">
        <v>1766</v>
      </c>
      <c r="D352" s="1" t="s">
        <v>1767</v>
      </c>
      <c r="E352" s="4">
        <v>44989.0</v>
      </c>
      <c r="F352" s="10">
        <v>2.298611111111111</v>
      </c>
      <c r="G352" s="1">
        <v>15832.0</v>
      </c>
      <c r="H352" s="1">
        <v>460.0</v>
      </c>
      <c r="I352" s="1">
        <v>15.0</v>
      </c>
      <c r="J352" s="3" t="s">
        <v>1768</v>
      </c>
      <c r="K352" s="6">
        <f t="shared" si="1"/>
        <v>3.000252653</v>
      </c>
      <c r="L352" s="7">
        <f t="shared" si="2"/>
        <v>3310</v>
      </c>
      <c r="M352" s="8">
        <f t="shared" si="3"/>
        <v>44984</v>
      </c>
      <c r="N352" s="9" t="str">
        <f>IFERROR(__xludf.DUMMYFUNCTION("IFS(
REGEXMATCH(LOWER(A352),""option|options""),""Options Strategy Education"",
REGEXMATCH(LOWER(A352),""bank nifty|nifty|index""),""Index Options"",
REGEXMATCH(LOWER(A352),""algo|api|systematic""),""Algo Trading / API Tutorial"",
REGEXMATCH(LOWER(A352),"&amp;"""groww|mtf|margin|pledge""),""Platform / Groww Feature Tutorial"",
REGEXMATCH(LOWER(A352),""candlestick|chart|price action|trendline|rsi|indicator""),""Technical Analysis / Chart Patterns"",
REGEXMATCH(LOWER(A352),""beginner|guide|start trading""),""Begi"&amp;"nner Trading Education"",
REGEXMATCH(LOWER(A352),""interview|journey|talks|wisdom""),""Expert Interview / Trading Insights"",
REGEXMATCH(LOWER(A352),""risk|loss|drawdown|psychology""),""Trading Psychology / Risk Management"",
REGEXMATCH(LOWER(A352),""comm"&amp;"odity|crude|gold|natural gas""),""Commodity Trading Education"",
TRUE,""General Trading Education""
)
"),"General Trading Education")</f>
        <v>General Trading Education</v>
      </c>
    </row>
    <row r="353" ht="15.75" customHeight="1">
      <c r="A353" s="1" t="s">
        <v>1769</v>
      </c>
      <c r="B353" s="3" t="s">
        <v>1770</v>
      </c>
      <c r="C353" s="1" t="s">
        <v>1771</v>
      </c>
      <c r="D353" s="1" t="s">
        <v>1772</v>
      </c>
      <c r="E353" s="4">
        <v>44987.0</v>
      </c>
      <c r="F353" s="5">
        <v>0.6430555555555556</v>
      </c>
      <c r="G353" s="1">
        <v>80521.0</v>
      </c>
      <c r="H353" s="1">
        <v>1750.0</v>
      </c>
      <c r="I353" s="1">
        <v>29.0</v>
      </c>
      <c r="J353" s="3" t="s">
        <v>1773</v>
      </c>
      <c r="K353" s="6">
        <f t="shared" si="1"/>
        <v>2.209361533</v>
      </c>
      <c r="L353" s="7">
        <f t="shared" si="2"/>
        <v>926</v>
      </c>
      <c r="M353" s="8">
        <f t="shared" si="3"/>
        <v>44984</v>
      </c>
      <c r="N353" s="9" t="str">
        <f>IFERROR(__xludf.DUMMYFUNCTION("IFS(
REGEXMATCH(LOWER(A353),""option|options""),""Options Strategy Education"",
REGEXMATCH(LOWER(A353),""bank nifty|nifty|index""),""Index Options"",
REGEXMATCH(LOWER(A353),""algo|api|systematic""),""Algo Trading / API Tutorial"",
REGEXMATCH(LOWER(A353),"&amp;"""groww|mtf|margin|pledge""),""Platform / Groww Feature Tutorial"",
REGEXMATCH(LOWER(A353),""candlestick|chart|price action|trendline|rsi|indicator""),""Technical Analysis / Chart Patterns"",
REGEXMATCH(LOWER(A353),""beginner|guide|start trading""),""Begi"&amp;"nner Trading Education"",
REGEXMATCH(LOWER(A353),""interview|journey|talks|wisdom""),""Expert Interview / Trading Insights"",
REGEXMATCH(LOWER(A353),""risk|loss|drawdown|psychology""),""Trading Psychology / Risk Management"",
REGEXMATCH(LOWER(A353),""comm"&amp;"odity|crude|gold|natural gas""),""Commodity Trading Education"",
TRUE,""General Trading Education""
)
"),"General Trading Education")</f>
        <v>General Trading Education</v>
      </c>
    </row>
    <row r="354" ht="15.75" customHeight="1">
      <c r="A354" s="1" t="s">
        <v>1774</v>
      </c>
      <c r="B354" s="3" t="s">
        <v>1775</v>
      </c>
      <c r="C354" s="1" t="s">
        <v>1776</v>
      </c>
      <c r="D354" s="1" t="s">
        <v>1777</v>
      </c>
      <c r="E354" s="4">
        <v>44985.0</v>
      </c>
      <c r="F354" s="5">
        <v>0.7375</v>
      </c>
      <c r="G354" s="1">
        <v>76778.0</v>
      </c>
      <c r="H354" s="1">
        <v>3004.0</v>
      </c>
      <c r="I354" s="1">
        <v>64.0</v>
      </c>
      <c r="J354" s="3" t="s">
        <v>1778</v>
      </c>
      <c r="K354" s="6">
        <f t="shared" si="1"/>
        <v>3.995936336</v>
      </c>
      <c r="L354" s="7">
        <f t="shared" si="2"/>
        <v>1062</v>
      </c>
      <c r="M354" s="8">
        <f t="shared" si="3"/>
        <v>44984</v>
      </c>
      <c r="N354" s="9" t="str">
        <f>IFERROR(__xludf.DUMMYFUNCTION("IFS(
REGEXMATCH(LOWER(A354),""option|options""),""Options Strategy Education"",
REGEXMATCH(LOWER(A354),""bank nifty|nifty|index""),""Index Options"",
REGEXMATCH(LOWER(A354),""algo|api|systematic""),""Algo Trading / API Tutorial"",
REGEXMATCH(LOWER(A354),"&amp;"""groww|mtf|margin|pledge""),""Platform / Groww Feature Tutorial"",
REGEXMATCH(LOWER(A354),""candlestick|chart|price action|trendline|rsi|indicator""),""Technical Analysis / Chart Patterns"",
REGEXMATCH(LOWER(A354),""beginner|guide|start trading""),""Begi"&amp;"nner Trading Education"",
REGEXMATCH(LOWER(A354),""interview|journey|talks|wisdom""),""Expert Interview / Trading Insights"",
REGEXMATCH(LOWER(A354),""risk|loss|drawdown|psychology""),""Trading Psychology / Risk Management"",
REGEXMATCH(LOWER(A354),""comm"&amp;"odity|crude|gold|natural gas""),""Commodity Trading Education"",
TRUE,""General Trading Education""
)
"),"Options Strategy Education")</f>
        <v>Options Strategy Education</v>
      </c>
    </row>
    <row r="355" ht="15.75" customHeight="1">
      <c r="A355" s="1" t="s">
        <v>1779</v>
      </c>
      <c r="B355" s="3" t="s">
        <v>1780</v>
      </c>
      <c r="C355" s="1" t="s">
        <v>1781</v>
      </c>
      <c r="D355" s="1" t="s">
        <v>1782</v>
      </c>
      <c r="E355" s="4">
        <v>44982.0</v>
      </c>
      <c r="F355" s="10">
        <v>1.4833333333333334</v>
      </c>
      <c r="G355" s="1">
        <v>5271.0</v>
      </c>
      <c r="H355" s="1">
        <v>237.0</v>
      </c>
      <c r="I355" s="1">
        <v>13.0</v>
      </c>
      <c r="J355" s="3" t="s">
        <v>1783</v>
      </c>
      <c r="K355" s="6">
        <f t="shared" si="1"/>
        <v>4.74293303</v>
      </c>
      <c r="L355" s="7">
        <f t="shared" si="2"/>
        <v>2136</v>
      </c>
      <c r="M355" s="8">
        <f t="shared" si="3"/>
        <v>44977</v>
      </c>
      <c r="N355" s="9" t="str">
        <f>IFERROR(__xludf.DUMMYFUNCTION("IFS(
REGEXMATCH(LOWER(A355),""option|options""),""Options Strategy Education"",
REGEXMATCH(LOWER(A355),""bank nifty|nifty|index""),""Index Options"",
REGEXMATCH(LOWER(A355),""algo|api|systematic""),""Algo Trading / API Tutorial"",
REGEXMATCH(LOWER(A355),"&amp;"""groww|mtf|margin|pledge""),""Platform / Groww Feature Tutorial"",
REGEXMATCH(LOWER(A355),""candlestick|chart|price action|trendline|rsi|indicator""),""Technical Analysis / Chart Patterns"",
REGEXMATCH(LOWER(A355),""beginner|guide|start trading""),""Begi"&amp;"nner Trading Education"",
REGEXMATCH(LOWER(A355),""interview|journey|talks|wisdom""),""Expert Interview / Trading Insights"",
REGEXMATCH(LOWER(A355),""risk|loss|drawdown|psychology""),""Trading Psychology / Risk Management"",
REGEXMATCH(LOWER(A355),""comm"&amp;"odity|crude|gold|natural gas""),""Commodity Trading Education"",
TRUE,""General Trading Education""
)
"),"Algo Trading / API Tutorial")</f>
        <v>Algo Trading / API Tutorial</v>
      </c>
    </row>
    <row r="356" ht="15.75" customHeight="1">
      <c r="A356" s="1" t="s">
        <v>1784</v>
      </c>
      <c r="B356" s="3" t="s">
        <v>1785</v>
      </c>
      <c r="C356" s="1" t="s">
        <v>1786</v>
      </c>
      <c r="D356" s="1" t="s">
        <v>1787</v>
      </c>
      <c r="E356" s="4">
        <v>44980.0</v>
      </c>
      <c r="F356" s="5">
        <v>0.7222222222222222</v>
      </c>
      <c r="G356" s="1">
        <v>45586.0</v>
      </c>
      <c r="H356" s="1">
        <v>1220.0</v>
      </c>
      <c r="I356" s="1">
        <v>28.0</v>
      </c>
      <c r="J356" s="3" t="s">
        <v>1788</v>
      </c>
      <c r="K356" s="6">
        <f t="shared" si="1"/>
        <v>2.737682622</v>
      </c>
      <c r="L356" s="7">
        <f t="shared" si="2"/>
        <v>1040</v>
      </c>
      <c r="M356" s="8">
        <f t="shared" si="3"/>
        <v>44977</v>
      </c>
      <c r="N356" s="9" t="str">
        <f>IFERROR(__xludf.DUMMYFUNCTION("IFS(
REGEXMATCH(LOWER(A356),""option|options""),""Options Strategy Education"",
REGEXMATCH(LOWER(A356),""bank nifty|nifty|index""),""Index Options"",
REGEXMATCH(LOWER(A356),""algo|api|systematic""),""Algo Trading / API Tutorial"",
REGEXMATCH(LOWER(A356),"&amp;"""groww|mtf|margin|pledge""),""Platform / Groww Feature Tutorial"",
REGEXMATCH(LOWER(A356),""candlestick|chart|price action|trendline|rsi|indicator""),""Technical Analysis / Chart Patterns"",
REGEXMATCH(LOWER(A356),""beginner|guide|start trading""),""Begi"&amp;"nner Trading Education"",
REGEXMATCH(LOWER(A356),""interview|journey|talks|wisdom""),""Expert Interview / Trading Insights"",
REGEXMATCH(LOWER(A356),""risk|loss|drawdown|psychology""),""Trading Psychology / Risk Management"",
REGEXMATCH(LOWER(A356),""comm"&amp;"odity|crude|gold|natural gas""),""Commodity Trading Education"",
TRUE,""General Trading Education""
)
"),"Options Strategy Education")</f>
        <v>Options Strategy Education</v>
      </c>
    </row>
    <row r="357" ht="15.75" customHeight="1">
      <c r="A357" s="1" t="s">
        <v>1789</v>
      </c>
      <c r="B357" s="3" t="s">
        <v>1790</v>
      </c>
      <c r="C357" s="1" t="s">
        <v>1791</v>
      </c>
      <c r="D357" s="1" t="s">
        <v>1792</v>
      </c>
      <c r="E357" s="4">
        <v>44978.0</v>
      </c>
      <c r="F357" s="5">
        <v>0.5854166666666667</v>
      </c>
      <c r="G357" s="1">
        <v>11761.0</v>
      </c>
      <c r="H357" s="1">
        <v>585.0</v>
      </c>
      <c r="I357" s="1">
        <v>25.0</v>
      </c>
      <c r="J357" s="3" t="s">
        <v>1793</v>
      </c>
      <c r="K357" s="6">
        <f t="shared" si="1"/>
        <v>5.18663379</v>
      </c>
      <c r="L357" s="7">
        <f t="shared" si="2"/>
        <v>843</v>
      </c>
      <c r="M357" s="8">
        <f t="shared" si="3"/>
        <v>44977</v>
      </c>
      <c r="N357" s="9" t="str">
        <f>IFERROR(__xludf.DUMMYFUNCTION("IFS(
REGEXMATCH(LOWER(A357),""option|options""),""Options Strategy Education"",
REGEXMATCH(LOWER(A357),""bank nifty|nifty|index""),""Index Options"",
REGEXMATCH(LOWER(A357),""algo|api|systematic""),""Algo Trading / API Tutorial"",
REGEXMATCH(LOWER(A357),"&amp;"""groww|mtf|margin|pledge""),""Platform / Groww Feature Tutorial"",
REGEXMATCH(LOWER(A357),""candlestick|chart|price action|trendline|rsi|indicator""),""Technical Analysis / Chart Patterns"",
REGEXMATCH(LOWER(A357),""beginner|guide|start trading""),""Begi"&amp;"nner Trading Education"",
REGEXMATCH(LOWER(A357),""interview|journey|talks|wisdom""),""Expert Interview / Trading Insights"",
REGEXMATCH(LOWER(A357),""risk|loss|drawdown|psychology""),""Trading Psychology / Risk Management"",
REGEXMATCH(LOWER(A357),""comm"&amp;"odity|crude|gold|natural gas""),""Commodity Trading Education"",
TRUE,""General Trading Education""
)
"),"General Trading Education")</f>
        <v>General Trading Education</v>
      </c>
    </row>
    <row r="358" ht="15.75" customHeight="1">
      <c r="A358" s="1" t="s">
        <v>1794</v>
      </c>
      <c r="B358" s="3" t="s">
        <v>1795</v>
      </c>
      <c r="C358" s="1" t="s">
        <v>1796</v>
      </c>
      <c r="D358" s="1" t="s">
        <v>1797</v>
      </c>
      <c r="E358" s="4">
        <v>44973.0</v>
      </c>
      <c r="F358" s="5">
        <v>0.7381944444444445</v>
      </c>
      <c r="G358" s="1">
        <v>17908.0</v>
      </c>
      <c r="H358" s="1">
        <v>1497.0</v>
      </c>
      <c r="I358" s="1">
        <v>66.0</v>
      </c>
      <c r="J358" s="3" t="s">
        <v>1798</v>
      </c>
      <c r="K358" s="6">
        <f t="shared" si="1"/>
        <v>8.727942819</v>
      </c>
      <c r="L358" s="7">
        <f t="shared" si="2"/>
        <v>1063</v>
      </c>
      <c r="M358" s="8">
        <f t="shared" si="3"/>
        <v>44970</v>
      </c>
      <c r="N358" s="9" t="str">
        <f>IFERROR(__xludf.DUMMYFUNCTION("IFS(
REGEXMATCH(LOWER(A358),""option|options""),""Options Strategy Education"",
REGEXMATCH(LOWER(A358),""bank nifty|nifty|index""),""Index Options"",
REGEXMATCH(LOWER(A358),""algo|api|systematic""),""Algo Trading / API Tutorial"",
REGEXMATCH(LOWER(A358),"&amp;"""groww|mtf|margin|pledge""),""Platform / Groww Feature Tutorial"",
REGEXMATCH(LOWER(A358),""candlestick|chart|price action|trendline|rsi|indicator""),""Technical Analysis / Chart Patterns"",
REGEXMATCH(LOWER(A358),""beginner|guide|start trading""),""Begi"&amp;"nner Trading Education"",
REGEXMATCH(LOWER(A358),""interview|journey|talks|wisdom""),""Expert Interview / Trading Insights"",
REGEXMATCH(LOWER(A358),""risk|loss|drawdown|psychology""),""Trading Psychology / Risk Management"",
REGEXMATCH(LOWER(A358),""comm"&amp;"odity|crude|gold|natural gas""),""Commodity Trading Education"",
TRUE,""General Trading Education""
)
"),"Trading Psychology / Risk Management")</f>
        <v>Trading Psychology / Risk Management</v>
      </c>
    </row>
    <row r="359" ht="15.75" customHeight="1">
      <c r="A359" s="1" t="s">
        <v>1799</v>
      </c>
      <c r="B359" s="3" t="s">
        <v>1800</v>
      </c>
      <c r="C359" s="1" t="s">
        <v>1801</v>
      </c>
      <c r="D359" s="1" t="s">
        <v>1802</v>
      </c>
      <c r="E359" s="4">
        <v>44971.0</v>
      </c>
      <c r="F359" s="5">
        <v>0.7902777777777777</v>
      </c>
      <c r="G359" s="1">
        <v>19815.0</v>
      </c>
      <c r="H359" s="1">
        <v>759.0</v>
      </c>
      <c r="I359" s="1">
        <v>21.0</v>
      </c>
      <c r="J359" s="3" t="s">
        <v>1803</v>
      </c>
      <c r="K359" s="6">
        <f t="shared" si="1"/>
        <v>3.936411809</v>
      </c>
      <c r="L359" s="7">
        <f t="shared" si="2"/>
        <v>1138</v>
      </c>
      <c r="M359" s="8">
        <f t="shared" si="3"/>
        <v>44970</v>
      </c>
      <c r="N359" s="9" t="str">
        <f>IFERROR(__xludf.DUMMYFUNCTION("IFS(
REGEXMATCH(LOWER(A359),""option|options""),""Options Strategy Education"",
REGEXMATCH(LOWER(A359),""bank nifty|nifty|index""),""Index Options"",
REGEXMATCH(LOWER(A359),""algo|api|systematic""),""Algo Trading / API Tutorial"",
REGEXMATCH(LOWER(A359),"&amp;"""groww|mtf|margin|pledge""),""Platform / Groww Feature Tutorial"",
REGEXMATCH(LOWER(A359),""candlestick|chart|price action|trendline|rsi|indicator""),""Technical Analysis / Chart Patterns"",
REGEXMATCH(LOWER(A359),""beginner|guide|start trading""),""Begi"&amp;"nner Trading Education"",
REGEXMATCH(LOWER(A359),""interview|journey|talks|wisdom""),""Expert Interview / Trading Insights"",
REGEXMATCH(LOWER(A359),""risk|loss|drawdown|psychology""),""Trading Psychology / Risk Management"",
REGEXMATCH(LOWER(A359),""comm"&amp;"odity|crude|gold|natural gas""),""Commodity Trading Education"",
TRUE,""General Trading Education""
)
"),"General Trading Education")</f>
        <v>General Trading Education</v>
      </c>
    </row>
    <row r="360" ht="15.75" customHeight="1">
      <c r="A360" s="1" t="s">
        <v>1804</v>
      </c>
      <c r="B360" s="3" t="s">
        <v>1805</v>
      </c>
      <c r="C360" s="1" t="s">
        <v>1806</v>
      </c>
      <c r="D360" s="1" t="s">
        <v>1807</v>
      </c>
      <c r="E360" s="4">
        <v>44968.0</v>
      </c>
      <c r="F360" s="12">
        <v>0.043125</v>
      </c>
      <c r="G360" s="1">
        <v>10423.0</v>
      </c>
      <c r="H360" s="1">
        <v>434.0</v>
      </c>
      <c r="I360" s="1">
        <v>20.0</v>
      </c>
      <c r="J360" s="3" t="s">
        <v>1808</v>
      </c>
      <c r="K360" s="6">
        <f t="shared" si="1"/>
        <v>4.355751703</v>
      </c>
      <c r="L360" s="7">
        <f t="shared" si="2"/>
        <v>62.1</v>
      </c>
      <c r="M360" s="8">
        <f t="shared" si="3"/>
        <v>44963</v>
      </c>
      <c r="N360" s="9" t="str">
        <f>IFERROR(__xludf.DUMMYFUNCTION("IFS(
REGEXMATCH(LOWER(A360),""option|options""),""Options Strategy Education"",
REGEXMATCH(LOWER(A360),""bank nifty|nifty|index""),""Index Options"",
REGEXMATCH(LOWER(A360),""algo|api|systematic""),""Algo Trading / API Tutorial"",
REGEXMATCH(LOWER(A360),"&amp;"""groww|mtf|margin|pledge""),""Platform / Groww Feature Tutorial"",
REGEXMATCH(LOWER(A360),""candlestick|chart|price action|trendline|rsi|indicator""),""Technical Analysis / Chart Patterns"",
REGEXMATCH(LOWER(A360),""beginner|guide|start trading""),""Begi"&amp;"nner Trading Education"",
REGEXMATCH(LOWER(A360),""interview|journey|talks|wisdom""),""Expert Interview / Trading Insights"",
REGEXMATCH(LOWER(A360),""risk|loss|drawdown|psychology""),""Trading Psychology / Risk Management"",
REGEXMATCH(LOWER(A360),""comm"&amp;"odity|crude|gold|natural gas""),""Commodity Trading Education"",
TRUE,""General Trading Education""
)
"),"Technical Analysis / Chart Patterns")</f>
        <v>Technical Analysis / Chart Patterns</v>
      </c>
    </row>
    <row r="361" ht="15.75" customHeight="1">
      <c r="A361" s="1" t="s">
        <v>1809</v>
      </c>
      <c r="B361" s="3" t="s">
        <v>1810</v>
      </c>
      <c r="C361" s="1" t="s">
        <v>1811</v>
      </c>
      <c r="D361" s="1" t="s">
        <v>1812</v>
      </c>
      <c r="E361" s="4">
        <v>44966.0</v>
      </c>
      <c r="F361" s="5">
        <v>0.7388888888888889</v>
      </c>
      <c r="G361" s="1">
        <v>21398.0</v>
      </c>
      <c r="H361" s="1">
        <v>865.0</v>
      </c>
      <c r="I361" s="1">
        <v>23.0</v>
      </c>
      <c r="J361" s="3" t="s">
        <v>1813</v>
      </c>
      <c r="K361" s="6">
        <f t="shared" si="1"/>
        <v>4.149920553</v>
      </c>
      <c r="L361" s="7">
        <f t="shared" si="2"/>
        <v>1064</v>
      </c>
      <c r="M361" s="8">
        <f t="shared" si="3"/>
        <v>44963</v>
      </c>
      <c r="N361" s="9" t="str">
        <f>IFERROR(__xludf.DUMMYFUNCTION("IFS(
REGEXMATCH(LOWER(A361),""option|options""),""Options Strategy Education"",
REGEXMATCH(LOWER(A361),""bank nifty|nifty|index""),""Index Options"",
REGEXMATCH(LOWER(A361),""algo|api|systematic""),""Algo Trading / API Tutorial"",
REGEXMATCH(LOWER(A361),"&amp;"""groww|mtf|margin|pledge""),""Platform / Groww Feature Tutorial"",
REGEXMATCH(LOWER(A361),""candlestick|chart|price action|trendline|rsi|indicator""),""Technical Analysis / Chart Patterns"",
REGEXMATCH(LOWER(A361),""beginner|guide|start trading""),""Begi"&amp;"nner Trading Education"",
REGEXMATCH(LOWER(A361),""interview|journey|talks|wisdom""),""Expert Interview / Trading Insights"",
REGEXMATCH(LOWER(A361),""risk|loss|drawdown|psychology""),""Trading Psychology / Risk Management"",
REGEXMATCH(LOWER(A361),""comm"&amp;"odity|crude|gold|natural gas""),""Commodity Trading Education"",
TRUE,""General Trading Education""
)
"),"General Trading Education")</f>
        <v>General Trading Education</v>
      </c>
    </row>
    <row r="362" ht="15.75" customHeight="1">
      <c r="A362" s="1" t="s">
        <v>1814</v>
      </c>
      <c r="B362" s="3" t="s">
        <v>1815</v>
      </c>
      <c r="C362" s="1" t="s">
        <v>1816</v>
      </c>
      <c r="D362" s="1" t="s">
        <v>1817</v>
      </c>
      <c r="E362" s="4">
        <v>44964.0</v>
      </c>
      <c r="F362" s="5">
        <v>0.6055555555555555</v>
      </c>
      <c r="G362" s="1">
        <v>22606.0</v>
      </c>
      <c r="H362" s="1">
        <v>1057.0</v>
      </c>
      <c r="I362" s="1">
        <v>41.0</v>
      </c>
      <c r="J362" s="3" t="s">
        <v>1818</v>
      </c>
      <c r="K362" s="6">
        <f t="shared" si="1"/>
        <v>4.857117579</v>
      </c>
      <c r="L362" s="7">
        <f t="shared" si="2"/>
        <v>872</v>
      </c>
      <c r="M362" s="8">
        <f t="shared" si="3"/>
        <v>44963</v>
      </c>
      <c r="N362" s="9" t="str">
        <f>IFERROR(__xludf.DUMMYFUNCTION("IFS(
REGEXMATCH(LOWER(A362),""option|options""),""Options Strategy Education"",
REGEXMATCH(LOWER(A362),""bank nifty|nifty|index""),""Index Options"",
REGEXMATCH(LOWER(A362),""algo|api|systematic""),""Algo Trading / API Tutorial"",
REGEXMATCH(LOWER(A362),"&amp;"""groww|mtf|margin|pledge""),""Platform / Groww Feature Tutorial"",
REGEXMATCH(LOWER(A362),""candlestick|chart|price action|trendline|rsi|indicator""),""Technical Analysis / Chart Patterns"",
REGEXMATCH(LOWER(A362),""beginner|guide|start trading""),""Begi"&amp;"nner Trading Education"",
REGEXMATCH(LOWER(A362),""interview|journey|talks|wisdom""),""Expert Interview / Trading Insights"",
REGEXMATCH(LOWER(A362),""risk|loss|drawdown|psychology""),""Trading Psychology / Risk Management"",
REGEXMATCH(LOWER(A362),""comm"&amp;"odity|crude|gold|natural gas""),""Commodity Trading Education"",
TRUE,""General Trading Education""
)
"),"General Trading Education")</f>
        <v>General Trading Education</v>
      </c>
    </row>
    <row r="363" ht="15.75" customHeight="1">
      <c r="A363" s="1" t="s">
        <v>1819</v>
      </c>
      <c r="B363" s="3" t="s">
        <v>1820</v>
      </c>
      <c r="C363" s="1" t="s">
        <v>1821</v>
      </c>
      <c r="D363" s="1" t="s">
        <v>1822</v>
      </c>
      <c r="E363" s="4">
        <v>44961.0</v>
      </c>
      <c r="F363" s="10">
        <v>2.21875</v>
      </c>
      <c r="G363" s="1">
        <v>14004.0</v>
      </c>
      <c r="H363" s="1">
        <v>407.0</v>
      </c>
      <c r="I363" s="1">
        <v>12.0</v>
      </c>
      <c r="J363" s="3" t="s">
        <v>1823</v>
      </c>
      <c r="K363" s="6">
        <f t="shared" si="1"/>
        <v>2.992002285</v>
      </c>
      <c r="L363" s="7">
        <f t="shared" si="2"/>
        <v>3195</v>
      </c>
      <c r="M363" s="8">
        <f t="shared" si="3"/>
        <v>44956</v>
      </c>
      <c r="N363" s="9" t="str">
        <f>IFERROR(__xludf.DUMMYFUNCTION("IFS(
REGEXMATCH(LOWER(A363),""option|options""),""Options Strategy Education"",
REGEXMATCH(LOWER(A363),""bank nifty|nifty|index""),""Index Options"",
REGEXMATCH(LOWER(A363),""algo|api|systematic""),""Algo Trading / API Tutorial"",
REGEXMATCH(LOWER(A363),"&amp;"""groww|mtf|margin|pledge""),""Platform / Groww Feature Tutorial"",
REGEXMATCH(LOWER(A363),""candlestick|chart|price action|trendline|rsi|indicator""),""Technical Analysis / Chart Patterns"",
REGEXMATCH(LOWER(A363),""beginner|guide|start trading""),""Begi"&amp;"nner Trading Education"",
REGEXMATCH(LOWER(A363),""interview|journey|talks|wisdom""),""Expert Interview / Trading Insights"",
REGEXMATCH(LOWER(A363),""risk|loss|drawdown|psychology""),""Trading Psychology / Risk Management"",
REGEXMATCH(LOWER(A363),""comm"&amp;"odity|crude|gold|natural gas""),""Commodity Trading Education"",
TRUE,""General Trading Education""
)
"),"Trading Psychology / Risk Management")</f>
        <v>Trading Psychology / Risk Management</v>
      </c>
    </row>
    <row r="364" ht="15.75" customHeight="1">
      <c r="A364" s="1" t="s">
        <v>1824</v>
      </c>
      <c r="B364" s="3" t="s">
        <v>1825</v>
      </c>
      <c r="C364" s="1" t="s">
        <v>1826</v>
      </c>
      <c r="D364" s="1" t="s">
        <v>1827</v>
      </c>
      <c r="E364" s="4">
        <v>44958.0</v>
      </c>
      <c r="F364" s="5">
        <v>0.6166666666666667</v>
      </c>
      <c r="G364" s="1">
        <v>201944.0</v>
      </c>
      <c r="H364" s="1">
        <v>3052.0</v>
      </c>
      <c r="I364" s="1">
        <v>63.0</v>
      </c>
      <c r="J364" s="3" t="s">
        <v>1828</v>
      </c>
      <c r="K364" s="6">
        <f t="shared" si="1"/>
        <v>1.542506834</v>
      </c>
      <c r="L364" s="7">
        <f t="shared" si="2"/>
        <v>888</v>
      </c>
      <c r="M364" s="8">
        <f t="shared" si="3"/>
        <v>44956</v>
      </c>
      <c r="N364" s="9" t="str">
        <f>IFERROR(__xludf.DUMMYFUNCTION("IFS(
REGEXMATCH(LOWER(A364),""option|options""),""Options Strategy Education"",
REGEXMATCH(LOWER(A364),""bank nifty|nifty|index""),""Index Options"",
REGEXMATCH(LOWER(A364),""algo|api|systematic""),""Algo Trading / API Tutorial"",
REGEXMATCH(LOWER(A364),"&amp;"""groww|mtf|margin|pledge""),""Platform / Groww Feature Tutorial"",
REGEXMATCH(LOWER(A364),""candlestick|chart|price action|trendline|rsi|indicator""),""Technical Analysis / Chart Patterns"",
REGEXMATCH(LOWER(A364),""beginner|guide|start trading""),""Begi"&amp;"nner Trading Education"",
REGEXMATCH(LOWER(A364),""interview|journey|talks|wisdom""),""Expert Interview / Trading Insights"",
REGEXMATCH(LOWER(A364),""risk|loss|drawdown|psychology""),""Trading Psychology / Risk Management"",
REGEXMATCH(LOWER(A364),""comm"&amp;"odity|crude|gold|natural gas""),""Commodity Trading Education"",
TRUE,""General Trading Education""
)
"),"Beginner Trading Education")</f>
        <v>Beginner Trading Education</v>
      </c>
    </row>
    <row r="365" ht="15.75" customHeight="1">
      <c r="A365" s="1" t="s">
        <v>1829</v>
      </c>
      <c r="B365" s="3" t="s">
        <v>1830</v>
      </c>
      <c r="C365" s="1" t="s">
        <v>1831</v>
      </c>
      <c r="D365" s="1" t="s">
        <v>1832</v>
      </c>
      <c r="E365" s="4">
        <v>44956.0</v>
      </c>
      <c r="F365" s="5">
        <v>0.5388888888888889</v>
      </c>
      <c r="G365" s="1">
        <v>5255.0</v>
      </c>
      <c r="H365" s="1">
        <v>318.0</v>
      </c>
      <c r="I365" s="1">
        <v>16.0</v>
      </c>
      <c r="J365" s="3" t="s">
        <v>1833</v>
      </c>
      <c r="K365" s="6">
        <f t="shared" si="1"/>
        <v>6.35585157</v>
      </c>
      <c r="L365" s="7">
        <f t="shared" si="2"/>
        <v>776</v>
      </c>
      <c r="M365" s="8">
        <f t="shared" si="3"/>
        <v>44956</v>
      </c>
      <c r="N365" s="9" t="str">
        <f>IFERROR(__xludf.DUMMYFUNCTION("IFS(
REGEXMATCH(LOWER(A365),""option|options""),""Options Strategy Education"",
REGEXMATCH(LOWER(A365),""bank nifty|nifty|index""),""Index Options"",
REGEXMATCH(LOWER(A365),""algo|api|systematic""),""Algo Trading / API Tutorial"",
REGEXMATCH(LOWER(A365),"&amp;"""groww|mtf|margin|pledge""),""Platform / Groww Feature Tutorial"",
REGEXMATCH(LOWER(A365),""candlestick|chart|price action|trendline|rsi|indicator""),""Technical Analysis / Chart Patterns"",
REGEXMATCH(LOWER(A365),""beginner|guide|start trading""),""Begi"&amp;"nner Trading Education"",
REGEXMATCH(LOWER(A365),""interview|journey|talks|wisdom""),""Expert Interview / Trading Insights"",
REGEXMATCH(LOWER(A365),""risk|loss|drawdown|psychology""),""Trading Psychology / Risk Management"",
REGEXMATCH(LOWER(A365),""comm"&amp;"odity|crude|gold|natural gas""),""Commodity Trading Education"",
TRUE,""General Trading Education""
)
"),"General Trading Education")</f>
        <v>General Trading Education</v>
      </c>
    </row>
    <row r="366" ht="15.75" customHeight="1">
      <c r="A366" s="1" t="s">
        <v>1834</v>
      </c>
      <c r="B366" s="3" t="s">
        <v>1835</v>
      </c>
      <c r="C366" s="1" t="s">
        <v>1836</v>
      </c>
      <c r="D366" s="1" t="s">
        <v>1837</v>
      </c>
      <c r="E366" s="4">
        <v>44952.0</v>
      </c>
      <c r="F366" s="5">
        <v>0.6395833333333333</v>
      </c>
      <c r="G366" s="1">
        <v>8343.0</v>
      </c>
      <c r="H366" s="1">
        <v>382.0</v>
      </c>
      <c r="I366" s="1">
        <v>10.0</v>
      </c>
      <c r="J366" s="3" t="s">
        <v>1838</v>
      </c>
      <c r="K366" s="6">
        <f t="shared" si="1"/>
        <v>4.698549682</v>
      </c>
      <c r="L366" s="7">
        <f t="shared" si="2"/>
        <v>921</v>
      </c>
      <c r="M366" s="8">
        <f t="shared" si="3"/>
        <v>44949</v>
      </c>
      <c r="N366" s="9" t="str">
        <f>IFERROR(__xludf.DUMMYFUNCTION("IFS(
REGEXMATCH(LOWER(A366),""option|options""),""Options Strategy Education"",
REGEXMATCH(LOWER(A366),""bank nifty|nifty|index""),""Index Options"",
REGEXMATCH(LOWER(A366),""algo|api|systematic""),""Algo Trading / API Tutorial"",
REGEXMATCH(LOWER(A366),"&amp;"""groww|mtf|margin|pledge""),""Platform / Groww Feature Tutorial"",
REGEXMATCH(LOWER(A366),""candlestick|chart|price action|trendline|rsi|indicator""),""Technical Analysis / Chart Patterns"",
REGEXMATCH(LOWER(A366),""beginner|guide|start trading""),""Begi"&amp;"nner Trading Education"",
REGEXMATCH(LOWER(A366),""interview|journey|talks|wisdom""),""Expert Interview / Trading Insights"",
REGEXMATCH(LOWER(A366),""risk|loss|drawdown|psychology""),""Trading Psychology / Risk Management"",
REGEXMATCH(LOWER(A366),""comm"&amp;"odity|crude|gold|natural gas""),""Commodity Trading Education"",
TRUE,""General Trading Education""
)
"),"Options Strategy Education")</f>
        <v>Options Strategy Education</v>
      </c>
    </row>
    <row r="367" ht="15.75" customHeight="1">
      <c r="A367" s="1" t="s">
        <v>1839</v>
      </c>
      <c r="B367" s="3" t="s">
        <v>1840</v>
      </c>
      <c r="C367" s="1" t="s">
        <v>1841</v>
      </c>
      <c r="D367" s="1" t="s">
        <v>1842</v>
      </c>
      <c r="E367" s="4">
        <v>44950.0</v>
      </c>
      <c r="F367" s="5">
        <v>0.5361111111111111</v>
      </c>
      <c r="G367" s="1">
        <v>9647.0</v>
      </c>
      <c r="H367" s="1">
        <v>641.0</v>
      </c>
      <c r="I367" s="1">
        <v>30.0</v>
      </c>
      <c r="J367" s="3" t="s">
        <v>1843</v>
      </c>
      <c r="K367" s="6">
        <f t="shared" si="1"/>
        <v>6.955530217</v>
      </c>
      <c r="L367" s="7">
        <f t="shared" si="2"/>
        <v>772</v>
      </c>
      <c r="M367" s="8">
        <f t="shared" si="3"/>
        <v>44949</v>
      </c>
      <c r="N367" s="9" t="str">
        <f>IFERROR(__xludf.DUMMYFUNCTION("IFS(
REGEXMATCH(LOWER(A367),""option|options""),""Options Strategy Education"",
REGEXMATCH(LOWER(A367),""bank nifty|nifty|index""),""Index Options"",
REGEXMATCH(LOWER(A367),""algo|api|systematic""),""Algo Trading / API Tutorial"",
REGEXMATCH(LOWER(A367),"&amp;"""groww|mtf|margin|pledge""),""Platform / Groww Feature Tutorial"",
REGEXMATCH(LOWER(A367),""candlestick|chart|price action|trendline|rsi|indicator""),""Technical Analysis / Chart Patterns"",
REGEXMATCH(LOWER(A367),""beginner|guide|start trading""),""Begi"&amp;"nner Trading Education"",
REGEXMATCH(LOWER(A367),""interview|journey|talks|wisdom""),""Expert Interview / Trading Insights"",
REGEXMATCH(LOWER(A367),""risk|loss|drawdown|psychology""),""Trading Psychology / Risk Management"",
REGEXMATCH(LOWER(A367),""comm"&amp;"odity|crude|gold|natural gas""),""Commodity Trading Education"",
TRUE,""General Trading Education""
)
"),"Algo Trading / API Tutorial")</f>
        <v>Algo Trading / API Tutorial</v>
      </c>
    </row>
    <row r="368" ht="15.75" customHeight="1">
      <c r="A368" s="1" t="s">
        <v>1844</v>
      </c>
      <c r="B368" s="3" t="s">
        <v>1845</v>
      </c>
      <c r="C368" s="1" t="s">
        <v>1846</v>
      </c>
      <c r="D368" s="1" t="s">
        <v>1847</v>
      </c>
      <c r="E368" s="4">
        <v>44948.0</v>
      </c>
      <c r="F368" s="10">
        <v>1.6027777777777779</v>
      </c>
      <c r="G368" s="1">
        <v>14883.0</v>
      </c>
      <c r="H368" s="1">
        <v>407.0</v>
      </c>
      <c r="I368" s="1">
        <v>17.0</v>
      </c>
      <c r="J368" s="3" t="s">
        <v>1848</v>
      </c>
      <c r="K368" s="6">
        <f t="shared" si="1"/>
        <v>2.848887993</v>
      </c>
      <c r="L368" s="7">
        <f t="shared" si="2"/>
        <v>2308</v>
      </c>
      <c r="M368" s="8">
        <f t="shared" si="3"/>
        <v>44942</v>
      </c>
      <c r="N368" s="9" t="str">
        <f>IFERROR(__xludf.DUMMYFUNCTION("IFS(
REGEXMATCH(LOWER(A368),""option|options""),""Options Strategy Education"",
REGEXMATCH(LOWER(A368),""bank nifty|nifty|index""),""Index Options"",
REGEXMATCH(LOWER(A368),""algo|api|systematic""),""Algo Trading / API Tutorial"",
REGEXMATCH(LOWER(A368),"&amp;"""groww|mtf|margin|pledge""),""Platform / Groww Feature Tutorial"",
REGEXMATCH(LOWER(A368),""candlestick|chart|price action|trendline|rsi|indicator""),""Technical Analysis / Chart Patterns"",
REGEXMATCH(LOWER(A368),""beginner|guide|start trading""),""Begi"&amp;"nner Trading Education"",
REGEXMATCH(LOWER(A368),""interview|journey|talks|wisdom""),""Expert Interview / Trading Insights"",
REGEXMATCH(LOWER(A368),""risk|loss|drawdown|psychology""),""Trading Psychology / Risk Management"",
REGEXMATCH(LOWER(A368),""comm"&amp;"odity|crude|gold|natural gas""),""Commodity Trading Education"",
TRUE,""General Trading Education""
)
"),"Options Strategy Education")</f>
        <v>Options Strategy Education</v>
      </c>
    </row>
    <row r="369" ht="15.75" customHeight="1">
      <c r="A369" s="1" t="s">
        <v>1849</v>
      </c>
      <c r="B369" s="3" t="s">
        <v>1850</v>
      </c>
      <c r="C369" s="1" t="s">
        <v>1851</v>
      </c>
      <c r="D369" s="1" t="s">
        <v>1852</v>
      </c>
      <c r="E369" s="4">
        <v>44945.0</v>
      </c>
      <c r="F369" s="5">
        <v>0.5722222222222222</v>
      </c>
      <c r="G369" s="1">
        <v>4161.0</v>
      </c>
      <c r="H369" s="1">
        <v>263.0</v>
      </c>
      <c r="I369" s="1">
        <v>5.0</v>
      </c>
      <c r="J369" s="3" t="s">
        <v>1853</v>
      </c>
      <c r="K369" s="6">
        <f t="shared" si="1"/>
        <v>6.440759433</v>
      </c>
      <c r="L369" s="7">
        <f t="shared" si="2"/>
        <v>824</v>
      </c>
      <c r="M369" s="8">
        <f t="shared" si="3"/>
        <v>44942</v>
      </c>
      <c r="N369" s="9" t="str">
        <f>IFERROR(__xludf.DUMMYFUNCTION("IFS(
REGEXMATCH(LOWER(A369),""option|options""),""Options Strategy Education"",
REGEXMATCH(LOWER(A369),""bank nifty|nifty|index""),""Index Options"",
REGEXMATCH(LOWER(A369),""algo|api|systematic""),""Algo Trading / API Tutorial"",
REGEXMATCH(LOWER(A369),"&amp;"""groww|mtf|margin|pledge""),""Platform / Groww Feature Tutorial"",
REGEXMATCH(LOWER(A369),""candlestick|chart|price action|trendline|rsi|indicator""),""Technical Analysis / Chart Patterns"",
REGEXMATCH(LOWER(A369),""beginner|guide|start trading""),""Begi"&amp;"nner Trading Education"",
REGEXMATCH(LOWER(A369),""interview|journey|talks|wisdom""),""Expert Interview / Trading Insights"",
REGEXMATCH(LOWER(A369),""risk|loss|drawdown|psychology""),""Trading Psychology / Risk Management"",
REGEXMATCH(LOWER(A369),""comm"&amp;"odity|crude|gold|natural gas""),""Commodity Trading Education"",
TRUE,""General Trading Education""
)
"),"General Trading Education")</f>
        <v>General Trading Education</v>
      </c>
    </row>
    <row r="370" ht="15.75" customHeight="1">
      <c r="A370" s="1" t="s">
        <v>1854</v>
      </c>
      <c r="B370" s="3" t="s">
        <v>1855</v>
      </c>
      <c r="C370" s="1" t="s">
        <v>1856</v>
      </c>
      <c r="D370" s="1" t="s">
        <v>1857</v>
      </c>
      <c r="E370" s="4">
        <v>44943.0</v>
      </c>
      <c r="F370" s="5">
        <v>0.45555555555555555</v>
      </c>
      <c r="G370" s="1">
        <v>5787.0</v>
      </c>
      <c r="H370" s="1">
        <v>448.0</v>
      </c>
      <c r="I370" s="1">
        <v>22.0</v>
      </c>
      <c r="J370" s="3" t="s">
        <v>1858</v>
      </c>
      <c r="K370" s="6">
        <f t="shared" si="1"/>
        <v>8.121651979</v>
      </c>
      <c r="L370" s="7">
        <f t="shared" si="2"/>
        <v>656</v>
      </c>
      <c r="M370" s="8">
        <f t="shared" si="3"/>
        <v>44942</v>
      </c>
      <c r="N370" s="9" t="str">
        <f>IFERROR(__xludf.DUMMYFUNCTION("IFS(
REGEXMATCH(LOWER(A370),""option|options""),""Options Strategy Education"",
REGEXMATCH(LOWER(A370),""bank nifty|nifty|index""),""Index Options"",
REGEXMATCH(LOWER(A370),""algo|api|systematic""),""Algo Trading / API Tutorial"",
REGEXMATCH(LOWER(A370),"&amp;"""groww|mtf|margin|pledge""),""Platform / Groww Feature Tutorial"",
REGEXMATCH(LOWER(A370),""candlestick|chart|price action|trendline|rsi|indicator""),""Technical Analysis / Chart Patterns"",
REGEXMATCH(LOWER(A370),""beginner|guide|start trading""),""Begi"&amp;"nner Trading Education"",
REGEXMATCH(LOWER(A370),""interview|journey|talks|wisdom""),""Expert Interview / Trading Insights"",
REGEXMATCH(LOWER(A370),""risk|loss|drawdown|psychology""),""Trading Psychology / Risk Management"",
REGEXMATCH(LOWER(A370),""comm"&amp;"odity|crude|gold|natural gas""),""Commodity Trading Education"",
TRUE,""General Trading Education""
)
"),"General Trading Education")</f>
        <v>General Trading Education</v>
      </c>
    </row>
    <row r="371" ht="15.75" customHeight="1">
      <c r="A371" s="1" t="s">
        <v>1859</v>
      </c>
      <c r="B371" s="3" t="s">
        <v>1860</v>
      </c>
      <c r="C371" s="1" t="s">
        <v>1861</v>
      </c>
      <c r="D371" s="1" t="s">
        <v>1862</v>
      </c>
      <c r="E371" s="4">
        <v>44941.0</v>
      </c>
      <c r="F371" s="10">
        <v>1.7909722222222222</v>
      </c>
      <c r="G371" s="1">
        <v>8342.0</v>
      </c>
      <c r="H371" s="1">
        <v>273.0</v>
      </c>
      <c r="I371" s="1">
        <v>8.0</v>
      </c>
      <c r="J371" s="3" t="s">
        <v>1863</v>
      </c>
      <c r="K371" s="6">
        <f t="shared" si="1"/>
        <v>3.368496763</v>
      </c>
      <c r="L371" s="7">
        <f t="shared" si="2"/>
        <v>2579</v>
      </c>
      <c r="M371" s="8">
        <f t="shared" si="3"/>
        <v>44935</v>
      </c>
      <c r="N371" s="9" t="str">
        <f>IFERROR(__xludf.DUMMYFUNCTION("IFS(
REGEXMATCH(LOWER(A371),""option|options""),""Options Strategy Education"",
REGEXMATCH(LOWER(A371),""bank nifty|nifty|index""),""Index Options"",
REGEXMATCH(LOWER(A371),""algo|api|systematic""),""Algo Trading / API Tutorial"",
REGEXMATCH(LOWER(A371),"&amp;"""groww|mtf|margin|pledge""),""Platform / Groww Feature Tutorial"",
REGEXMATCH(LOWER(A371),""candlestick|chart|price action|trendline|rsi|indicator""),""Technical Analysis / Chart Patterns"",
REGEXMATCH(LOWER(A371),""beginner|guide|start trading""),""Begi"&amp;"nner Trading Education"",
REGEXMATCH(LOWER(A371),""interview|journey|talks|wisdom""),""Expert Interview / Trading Insights"",
REGEXMATCH(LOWER(A371),""risk|loss|drawdown|psychology""),""Trading Psychology / Risk Management"",
REGEXMATCH(LOWER(A371),""comm"&amp;"odity|crude|gold|natural gas""),""Commodity Trading Education"",
TRUE,""General Trading Education""
)
"),"Algo Trading / API Tutorial")</f>
        <v>Algo Trading / API Tutorial</v>
      </c>
    </row>
    <row r="372" ht="15.75" customHeight="1">
      <c r="A372" s="1" t="s">
        <v>1864</v>
      </c>
      <c r="B372" s="3" t="s">
        <v>1865</v>
      </c>
      <c r="C372" s="1" t="s">
        <v>1866</v>
      </c>
      <c r="D372" s="1" t="s">
        <v>1867</v>
      </c>
      <c r="E372" s="4">
        <v>44939.0</v>
      </c>
      <c r="F372" s="5">
        <v>0.5701388888888889</v>
      </c>
      <c r="G372" s="1">
        <v>38265.0</v>
      </c>
      <c r="H372" s="1">
        <v>2069.0</v>
      </c>
      <c r="I372" s="1">
        <v>62.0</v>
      </c>
      <c r="J372" s="3" t="s">
        <v>1868</v>
      </c>
      <c r="K372" s="6">
        <f t="shared" si="1"/>
        <v>5.569057886</v>
      </c>
      <c r="L372" s="7">
        <f t="shared" si="2"/>
        <v>821</v>
      </c>
      <c r="M372" s="8">
        <f t="shared" si="3"/>
        <v>44935</v>
      </c>
      <c r="N372" s="9" t="str">
        <f>IFERROR(__xludf.DUMMYFUNCTION("IFS(
REGEXMATCH(LOWER(A372),""option|options""),""Options Strategy Education"",
REGEXMATCH(LOWER(A372),""bank nifty|nifty|index""),""Index Options"",
REGEXMATCH(LOWER(A372),""algo|api|systematic""),""Algo Trading / API Tutorial"",
REGEXMATCH(LOWER(A372),"&amp;"""groww|mtf|margin|pledge""),""Platform / Groww Feature Tutorial"",
REGEXMATCH(LOWER(A372),""candlestick|chart|price action|trendline|rsi|indicator""),""Technical Analysis / Chart Patterns"",
REGEXMATCH(LOWER(A372),""beginner|guide|start trading""),""Begi"&amp;"nner Trading Education"",
REGEXMATCH(LOWER(A372),""interview|journey|talks|wisdom""),""Expert Interview / Trading Insights"",
REGEXMATCH(LOWER(A372),""risk|loss|drawdown|psychology""),""Trading Psychology / Risk Management"",
REGEXMATCH(LOWER(A372),""comm"&amp;"odity|crude|gold|natural gas""),""Commodity Trading Education"",
TRUE,""General Trading Education""
)
"),"Options Strategy Education")</f>
        <v>Options Strategy Education</v>
      </c>
    </row>
    <row r="373" ht="15.75" customHeight="1">
      <c r="A373" s="1" t="s">
        <v>1869</v>
      </c>
      <c r="B373" s="3" t="s">
        <v>1870</v>
      </c>
      <c r="C373" s="1" t="s">
        <v>1871</v>
      </c>
      <c r="D373" s="1" t="s">
        <v>1872</v>
      </c>
      <c r="E373" s="4">
        <v>44937.0</v>
      </c>
      <c r="F373" s="5">
        <v>0.4576388888888889</v>
      </c>
      <c r="G373" s="1">
        <v>7589.0</v>
      </c>
      <c r="H373" s="1">
        <v>600.0</v>
      </c>
      <c r="I373" s="1">
        <v>35.0</v>
      </c>
      <c r="J373" s="3" t="s">
        <v>1873</v>
      </c>
      <c r="K373" s="6">
        <f t="shared" si="1"/>
        <v>8.367373831</v>
      </c>
      <c r="L373" s="7">
        <f t="shared" si="2"/>
        <v>659</v>
      </c>
      <c r="M373" s="8">
        <f t="shared" si="3"/>
        <v>44935</v>
      </c>
      <c r="N373" s="9" t="str">
        <f>IFERROR(__xludf.DUMMYFUNCTION("IFS(
REGEXMATCH(LOWER(A373),""option|options""),""Options Strategy Education"",
REGEXMATCH(LOWER(A373),""bank nifty|nifty|index""),""Index Options"",
REGEXMATCH(LOWER(A373),""algo|api|systematic""),""Algo Trading / API Tutorial"",
REGEXMATCH(LOWER(A373),"&amp;"""groww|mtf|margin|pledge""),""Platform / Groww Feature Tutorial"",
REGEXMATCH(LOWER(A373),""candlestick|chart|price action|trendline|rsi|indicator""),""Technical Analysis / Chart Patterns"",
REGEXMATCH(LOWER(A373),""beginner|guide|start trading""),""Begi"&amp;"nner Trading Education"",
REGEXMATCH(LOWER(A373),""interview|journey|talks|wisdom""),""Expert Interview / Trading Insights"",
REGEXMATCH(LOWER(A373),""risk|loss|drawdown|psychology""),""Trading Psychology / Risk Management"",
REGEXMATCH(LOWER(A373),""comm"&amp;"odity|crude|gold|natural gas""),""Commodity Trading Education"",
TRUE,""General Trading Education""
)
"),"General Trading Education")</f>
        <v>General Trading Education</v>
      </c>
    </row>
    <row r="374" ht="15.75" customHeight="1">
      <c r="A374" s="1" t="s">
        <v>1874</v>
      </c>
      <c r="B374" s="3" t="s">
        <v>1875</v>
      </c>
      <c r="C374" s="1" t="s">
        <v>1876</v>
      </c>
      <c r="D374" s="1" t="s">
        <v>1877</v>
      </c>
      <c r="E374" s="4">
        <v>44935.0</v>
      </c>
      <c r="F374" s="5">
        <v>0.6861111111111111</v>
      </c>
      <c r="G374" s="1">
        <v>92382.0</v>
      </c>
      <c r="H374" s="1">
        <v>4039.0</v>
      </c>
      <c r="I374" s="1">
        <v>103.0</v>
      </c>
      <c r="J374" s="3" t="s">
        <v>1878</v>
      </c>
      <c r="K374" s="6">
        <f t="shared" si="1"/>
        <v>4.483557403</v>
      </c>
      <c r="L374" s="7">
        <f t="shared" si="2"/>
        <v>988</v>
      </c>
      <c r="M374" s="8">
        <f t="shared" si="3"/>
        <v>44935</v>
      </c>
      <c r="N374" s="9" t="str">
        <f>IFERROR(__xludf.DUMMYFUNCTION("IFS(
REGEXMATCH(LOWER(A374),""option|options""),""Options Strategy Education"",
REGEXMATCH(LOWER(A374),""bank nifty|nifty|index""),""Index Options"",
REGEXMATCH(LOWER(A374),""algo|api|systematic""),""Algo Trading / API Tutorial"",
REGEXMATCH(LOWER(A374),"&amp;"""groww|mtf|margin|pledge""),""Platform / Groww Feature Tutorial"",
REGEXMATCH(LOWER(A374),""candlestick|chart|price action|trendline|rsi|indicator""),""Technical Analysis / Chart Patterns"",
REGEXMATCH(LOWER(A374),""beginner|guide|start trading""),""Begi"&amp;"nner Trading Education"",
REGEXMATCH(LOWER(A374),""interview|journey|talks|wisdom""),""Expert Interview / Trading Insights"",
REGEXMATCH(LOWER(A374),""risk|loss|drawdown|psychology""),""Trading Psychology / Risk Management"",
REGEXMATCH(LOWER(A374),""comm"&amp;"odity|crude|gold|natural gas""),""Commodity Trading Education"",
TRUE,""General Trading Education""
)
"),"General Trading Education")</f>
        <v>General Trading Education</v>
      </c>
    </row>
    <row r="375" ht="15.75" customHeight="1">
      <c r="A375" s="1" t="s">
        <v>1879</v>
      </c>
      <c r="B375" s="3" t="s">
        <v>1880</v>
      </c>
      <c r="C375" s="1" t="s">
        <v>1881</v>
      </c>
      <c r="D375" s="1" t="s">
        <v>1882</v>
      </c>
      <c r="E375" s="4">
        <v>44932.0</v>
      </c>
      <c r="F375" s="5">
        <v>0.47291666666666665</v>
      </c>
      <c r="G375" s="1">
        <v>1987.0</v>
      </c>
      <c r="H375" s="1">
        <v>87.0</v>
      </c>
      <c r="I375" s="1">
        <v>6.0</v>
      </c>
      <c r="J375" s="3" t="s">
        <v>1883</v>
      </c>
      <c r="K375" s="6">
        <f t="shared" si="1"/>
        <v>4.680422748</v>
      </c>
      <c r="L375" s="7">
        <f t="shared" si="2"/>
        <v>681</v>
      </c>
      <c r="M375" s="8">
        <f t="shared" si="3"/>
        <v>44928</v>
      </c>
      <c r="N375" s="9" t="str">
        <f>IFERROR(__xludf.DUMMYFUNCTION("IFS(
REGEXMATCH(LOWER(A375),""option|options""),""Options Strategy Education"",
REGEXMATCH(LOWER(A375),""bank nifty|nifty|index""),""Index Options"",
REGEXMATCH(LOWER(A375),""algo|api|systematic""),""Algo Trading / API Tutorial"",
REGEXMATCH(LOWER(A375),"&amp;"""groww|mtf|margin|pledge""),""Platform / Groww Feature Tutorial"",
REGEXMATCH(LOWER(A375),""candlestick|chart|price action|trendline|rsi|indicator""),""Technical Analysis / Chart Patterns"",
REGEXMATCH(LOWER(A375),""beginner|guide|start trading""),""Begi"&amp;"nner Trading Education"",
REGEXMATCH(LOWER(A375),""interview|journey|talks|wisdom""),""Expert Interview / Trading Insights"",
REGEXMATCH(LOWER(A375),""risk|loss|drawdown|psychology""),""Trading Psychology / Risk Management"",
REGEXMATCH(LOWER(A375),""comm"&amp;"odity|crude|gold|natural gas""),""Commodity Trading Education"",
TRUE,""General Trading Education""
)
"),"General Trading Education")</f>
        <v>General Trading Education</v>
      </c>
    </row>
    <row r="376" ht="15.75" customHeight="1">
      <c r="A376" s="1" t="s">
        <v>1884</v>
      </c>
      <c r="B376" s="3" t="s">
        <v>1885</v>
      </c>
      <c r="C376" s="1" t="s">
        <v>1886</v>
      </c>
      <c r="D376" s="1" t="s">
        <v>1887</v>
      </c>
      <c r="E376" s="4">
        <v>44930.0</v>
      </c>
      <c r="F376" s="5">
        <v>0.6097222222222223</v>
      </c>
      <c r="G376" s="1">
        <v>31171.0</v>
      </c>
      <c r="H376" s="1">
        <v>1165.0</v>
      </c>
      <c r="I376" s="1">
        <v>35.0</v>
      </c>
      <c r="J376" s="3" t="s">
        <v>1888</v>
      </c>
      <c r="K376" s="6">
        <f t="shared" si="1"/>
        <v>3.849732123</v>
      </c>
      <c r="L376" s="7">
        <f t="shared" si="2"/>
        <v>878</v>
      </c>
      <c r="M376" s="8">
        <f t="shared" si="3"/>
        <v>44928</v>
      </c>
      <c r="N376" s="9" t="str">
        <f>IFERROR(__xludf.DUMMYFUNCTION("IFS(
REGEXMATCH(LOWER(A376),""option|options""),""Options Strategy Education"",
REGEXMATCH(LOWER(A376),""bank nifty|nifty|index""),""Index Options"",
REGEXMATCH(LOWER(A376),""algo|api|systematic""),""Algo Trading / API Tutorial"",
REGEXMATCH(LOWER(A376),"&amp;"""groww|mtf|margin|pledge""),""Platform / Groww Feature Tutorial"",
REGEXMATCH(LOWER(A376),""candlestick|chart|price action|trendline|rsi|indicator""),""Technical Analysis / Chart Patterns"",
REGEXMATCH(LOWER(A376),""beginner|guide|start trading""),""Begi"&amp;"nner Trading Education"",
REGEXMATCH(LOWER(A376),""interview|journey|talks|wisdom""),""Expert Interview / Trading Insights"",
REGEXMATCH(LOWER(A376),""risk|loss|drawdown|psychology""),""Trading Psychology / Risk Management"",
REGEXMATCH(LOWER(A376),""comm"&amp;"odity|crude|gold|natural gas""),""Commodity Trading Education"",
TRUE,""General Trading Education""
)
"),"Platform / Groww Feature Tutorial")</f>
        <v>Platform / Groww Feature Tutorial</v>
      </c>
    </row>
    <row r="377" ht="15.75" customHeight="1">
      <c r="A377" s="1" t="s">
        <v>1889</v>
      </c>
      <c r="B377" s="3" t="s">
        <v>1890</v>
      </c>
      <c r="C377" s="1" t="s">
        <v>1891</v>
      </c>
      <c r="D377" s="1" t="s">
        <v>1892</v>
      </c>
      <c r="E377" s="4">
        <v>44929.0</v>
      </c>
      <c r="F377" s="5">
        <v>0.7444444444444445</v>
      </c>
      <c r="G377" s="1">
        <v>40636.0</v>
      </c>
      <c r="H377" s="1">
        <v>996.0</v>
      </c>
      <c r="I377" s="1">
        <v>22.0</v>
      </c>
      <c r="J377" s="3" t="s">
        <v>1893</v>
      </c>
      <c r="K377" s="6">
        <f t="shared" si="1"/>
        <v>2.505167831</v>
      </c>
      <c r="L377" s="7">
        <f t="shared" si="2"/>
        <v>1072</v>
      </c>
      <c r="M377" s="8">
        <f t="shared" si="3"/>
        <v>44928</v>
      </c>
      <c r="N377" s="9" t="str">
        <f>IFERROR(__xludf.DUMMYFUNCTION("IFS(
REGEXMATCH(LOWER(A377),""option|options""),""Options Strategy Education"",
REGEXMATCH(LOWER(A377),""bank nifty|nifty|index""),""Index Options"",
REGEXMATCH(LOWER(A377),""algo|api|systematic""),""Algo Trading / API Tutorial"",
REGEXMATCH(LOWER(A377),"&amp;"""groww|mtf|margin|pledge""),""Platform / Groww Feature Tutorial"",
REGEXMATCH(LOWER(A377),""candlestick|chart|price action|trendline|rsi|indicator""),""Technical Analysis / Chart Patterns"",
REGEXMATCH(LOWER(A377),""beginner|guide|start trading""),""Begi"&amp;"nner Trading Education"",
REGEXMATCH(LOWER(A377),""interview|journey|talks|wisdom""),""Expert Interview / Trading Insights"",
REGEXMATCH(LOWER(A377),""risk|loss|drawdown|psychology""),""Trading Psychology / Risk Management"",
REGEXMATCH(LOWER(A377),""comm"&amp;"odity|crude|gold|natural gas""),""Commodity Trading Education"",
TRUE,""General Trading Education""
)
"),"Beginner Trading Education")</f>
        <v>Beginner Trading Education</v>
      </c>
    </row>
    <row r="378" ht="15.75" customHeight="1">
      <c r="A378" s="1" t="s">
        <v>1894</v>
      </c>
      <c r="B378" s="3" t="s">
        <v>1895</v>
      </c>
      <c r="C378" s="1" t="s">
        <v>1896</v>
      </c>
      <c r="D378" s="1" t="s">
        <v>1897</v>
      </c>
      <c r="E378" s="4">
        <v>44928.0</v>
      </c>
      <c r="F378" s="5">
        <v>0.5479166666666667</v>
      </c>
      <c r="G378" s="1">
        <v>9287.0</v>
      </c>
      <c r="H378" s="1">
        <v>430.0</v>
      </c>
      <c r="I378" s="1">
        <v>14.0</v>
      </c>
      <c r="J378" s="3" t="s">
        <v>1898</v>
      </c>
      <c r="K378" s="6">
        <f t="shared" si="1"/>
        <v>4.780876494</v>
      </c>
      <c r="L378" s="7">
        <f t="shared" si="2"/>
        <v>789</v>
      </c>
      <c r="M378" s="8">
        <f t="shared" si="3"/>
        <v>44928</v>
      </c>
      <c r="N378" s="9" t="str">
        <f>IFERROR(__xludf.DUMMYFUNCTION("IFS(
REGEXMATCH(LOWER(A378),""option|options""),""Options Strategy Education"",
REGEXMATCH(LOWER(A378),""bank nifty|nifty|index""),""Index Options"",
REGEXMATCH(LOWER(A378),""algo|api|systematic""),""Algo Trading / API Tutorial"",
REGEXMATCH(LOWER(A378),"&amp;"""groww|mtf|margin|pledge""),""Platform / Groww Feature Tutorial"",
REGEXMATCH(LOWER(A378),""candlestick|chart|price action|trendline|rsi|indicator""),""Technical Analysis / Chart Patterns"",
REGEXMATCH(LOWER(A378),""beginner|guide|start trading""),""Begi"&amp;"nner Trading Education"",
REGEXMATCH(LOWER(A378),""interview|journey|talks|wisdom""),""Expert Interview / Trading Insights"",
REGEXMATCH(LOWER(A378),""risk|loss|drawdown|psychology""),""Trading Psychology / Risk Management"",
REGEXMATCH(LOWER(A378),""comm"&amp;"odity|crude|gold|natural gas""),""Commodity Trading Education"",
TRUE,""General Trading Education""
)
"),"General Trading Education")</f>
        <v>General Trading Education</v>
      </c>
    </row>
    <row r="379" ht="15.75" customHeight="1">
      <c r="A379" s="1" t="s">
        <v>1899</v>
      </c>
      <c r="B379" s="3" t="s">
        <v>1900</v>
      </c>
      <c r="C379" s="1" t="s">
        <v>1901</v>
      </c>
      <c r="D379" s="1" t="s">
        <v>1902</v>
      </c>
      <c r="E379" s="4">
        <v>44924.0</v>
      </c>
      <c r="F379" s="5">
        <v>0.4486111111111111</v>
      </c>
      <c r="G379" s="1">
        <v>5248.0</v>
      </c>
      <c r="H379" s="1">
        <v>222.0</v>
      </c>
      <c r="I379" s="1">
        <v>28.0</v>
      </c>
      <c r="J379" s="3" t="s">
        <v>1903</v>
      </c>
      <c r="K379" s="6">
        <f t="shared" si="1"/>
        <v>4.763719512</v>
      </c>
      <c r="L379" s="7">
        <f t="shared" si="2"/>
        <v>646</v>
      </c>
      <c r="M379" s="8">
        <f t="shared" si="3"/>
        <v>44921</v>
      </c>
      <c r="N379" s="9" t="str">
        <f>IFERROR(__xludf.DUMMYFUNCTION("IFS(
REGEXMATCH(LOWER(A379),""option|options""),""Options Strategy Education"",
REGEXMATCH(LOWER(A379),""bank nifty|nifty|index""),""Index Options"",
REGEXMATCH(LOWER(A379),""algo|api|systematic""),""Algo Trading / API Tutorial"",
REGEXMATCH(LOWER(A379),"&amp;"""groww|mtf|margin|pledge""),""Platform / Groww Feature Tutorial"",
REGEXMATCH(LOWER(A379),""candlestick|chart|price action|trendline|rsi|indicator""),""Technical Analysis / Chart Patterns"",
REGEXMATCH(LOWER(A379),""beginner|guide|start trading""),""Begi"&amp;"nner Trading Education"",
REGEXMATCH(LOWER(A379),""interview|journey|talks|wisdom""),""Expert Interview / Trading Insights"",
REGEXMATCH(LOWER(A379),""risk|loss|drawdown|psychology""),""Trading Psychology / Risk Management"",
REGEXMATCH(LOWER(A379),""comm"&amp;"odity|crude|gold|natural gas""),""Commodity Trading Education"",
TRUE,""General Trading Education""
)
"),"Index Options")</f>
        <v>Index Options</v>
      </c>
    </row>
    <row r="380" ht="15.75" customHeight="1">
      <c r="A380" s="1" t="s">
        <v>1904</v>
      </c>
      <c r="B380" s="3" t="s">
        <v>1905</v>
      </c>
      <c r="C380" s="1" t="s">
        <v>1906</v>
      </c>
      <c r="D380" s="1" t="s">
        <v>1907</v>
      </c>
      <c r="E380" s="4">
        <v>44923.0</v>
      </c>
      <c r="F380" s="5">
        <v>0.6006944444444444</v>
      </c>
      <c r="G380" s="1">
        <v>5922.0</v>
      </c>
      <c r="H380" s="1">
        <v>547.0</v>
      </c>
      <c r="I380" s="1">
        <v>37.0</v>
      </c>
      <c r="J380" s="3" t="s">
        <v>1908</v>
      </c>
      <c r="K380" s="6">
        <f t="shared" si="1"/>
        <v>9.861533266</v>
      </c>
      <c r="L380" s="7">
        <f t="shared" si="2"/>
        <v>865</v>
      </c>
      <c r="M380" s="8">
        <f t="shared" si="3"/>
        <v>44921</v>
      </c>
      <c r="N380" s="9" t="str">
        <f>IFERROR(__xludf.DUMMYFUNCTION("IFS(
REGEXMATCH(LOWER(A380),""option|options""),""Options Strategy Education"",
REGEXMATCH(LOWER(A380),""bank nifty|nifty|index""),""Index Options"",
REGEXMATCH(LOWER(A380),""algo|api|systematic""),""Algo Trading / API Tutorial"",
REGEXMATCH(LOWER(A380),"&amp;"""groww|mtf|margin|pledge""),""Platform / Groww Feature Tutorial"",
REGEXMATCH(LOWER(A380),""candlestick|chart|price action|trendline|rsi|indicator""),""Technical Analysis / Chart Patterns"",
REGEXMATCH(LOWER(A380),""beginner|guide|start trading""),""Begi"&amp;"nner Trading Education"",
REGEXMATCH(LOWER(A380),""interview|journey|talks|wisdom""),""Expert Interview / Trading Insights"",
REGEXMATCH(LOWER(A380),""risk|loss|drawdown|psychology""),""Trading Psychology / Risk Management"",
REGEXMATCH(LOWER(A380),""comm"&amp;"odity|crude|gold|natural gas""),""Commodity Trading Education"",
TRUE,""General Trading Education""
)
"),"General Trading Education")</f>
        <v>General Trading Education</v>
      </c>
    </row>
    <row r="381" ht="15.75" customHeight="1">
      <c r="A381" s="1" t="s">
        <v>1909</v>
      </c>
      <c r="B381" s="3" t="s">
        <v>1910</v>
      </c>
      <c r="C381" s="1" t="s">
        <v>1911</v>
      </c>
      <c r="D381" s="1" t="s">
        <v>1912</v>
      </c>
      <c r="E381" s="4">
        <v>44922.0</v>
      </c>
      <c r="F381" s="5">
        <v>0.3958333333333333</v>
      </c>
      <c r="G381" s="1">
        <v>7772.0</v>
      </c>
      <c r="H381" s="1">
        <v>372.0</v>
      </c>
      <c r="I381" s="1">
        <v>9.0</v>
      </c>
      <c r="J381" s="3" t="s">
        <v>1913</v>
      </c>
      <c r="K381" s="6">
        <f t="shared" si="1"/>
        <v>4.902213073</v>
      </c>
      <c r="L381" s="7">
        <f t="shared" si="2"/>
        <v>570</v>
      </c>
      <c r="M381" s="8">
        <f t="shared" si="3"/>
        <v>44921</v>
      </c>
      <c r="N381" s="9" t="str">
        <f>IFERROR(__xludf.DUMMYFUNCTION("IFS(
REGEXMATCH(LOWER(A381),""option|options""),""Options Strategy Education"",
REGEXMATCH(LOWER(A381),""bank nifty|nifty|index""),""Index Options"",
REGEXMATCH(LOWER(A381),""algo|api|systematic""),""Algo Trading / API Tutorial"",
REGEXMATCH(LOWER(A381),"&amp;"""groww|mtf|margin|pledge""),""Platform / Groww Feature Tutorial"",
REGEXMATCH(LOWER(A381),""candlestick|chart|price action|trendline|rsi|indicator""),""Technical Analysis / Chart Patterns"",
REGEXMATCH(LOWER(A381),""beginner|guide|start trading""),""Begi"&amp;"nner Trading Education"",
REGEXMATCH(LOWER(A381),""interview|journey|talks|wisdom""),""Expert Interview / Trading Insights"",
REGEXMATCH(LOWER(A381),""risk|loss|drawdown|psychology""),""Trading Psychology / Risk Management"",
REGEXMATCH(LOWER(A381),""comm"&amp;"odity|crude|gold|natural gas""),""Commodity Trading Education"",
TRUE,""General Trading Education""
)
"),"Platform / Groww Feature Tutorial")</f>
        <v>Platform / Groww Feature Tutorial</v>
      </c>
    </row>
    <row r="382" ht="15.75" customHeight="1">
      <c r="A382" s="1" t="s">
        <v>1914</v>
      </c>
      <c r="B382" s="3" t="s">
        <v>1915</v>
      </c>
      <c r="C382" s="1" t="s">
        <v>1916</v>
      </c>
      <c r="D382" s="1" t="s">
        <v>1917</v>
      </c>
      <c r="E382" s="4">
        <v>44921.0</v>
      </c>
      <c r="F382" s="5">
        <v>0.48333333333333334</v>
      </c>
      <c r="G382" s="1">
        <v>6991.0</v>
      </c>
      <c r="H382" s="1">
        <v>487.0</v>
      </c>
      <c r="I382" s="1">
        <v>29.0</v>
      </c>
      <c r="J382" s="3" t="s">
        <v>1918</v>
      </c>
      <c r="K382" s="6">
        <f t="shared" si="1"/>
        <v>7.380918324</v>
      </c>
      <c r="L382" s="7">
        <f t="shared" si="2"/>
        <v>696</v>
      </c>
      <c r="M382" s="8">
        <f t="shared" si="3"/>
        <v>44921</v>
      </c>
      <c r="N382" s="9" t="str">
        <f>IFERROR(__xludf.DUMMYFUNCTION("IFS(
REGEXMATCH(LOWER(A382),""option|options""),""Options Strategy Education"",
REGEXMATCH(LOWER(A382),""bank nifty|nifty|index""),""Index Options"",
REGEXMATCH(LOWER(A382),""algo|api|systematic""),""Algo Trading / API Tutorial"",
REGEXMATCH(LOWER(A382),"&amp;"""groww|mtf|margin|pledge""),""Platform / Groww Feature Tutorial"",
REGEXMATCH(LOWER(A382),""candlestick|chart|price action|trendline|rsi|indicator""),""Technical Analysis / Chart Patterns"",
REGEXMATCH(LOWER(A382),""beginner|guide|start trading""),""Begi"&amp;"nner Trading Education"",
REGEXMATCH(LOWER(A382),""interview|journey|talks|wisdom""),""Expert Interview / Trading Insights"",
REGEXMATCH(LOWER(A382),""risk|loss|drawdown|psychology""),""Trading Psychology / Risk Management"",
REGEXMATCH(LOWER(A382),""comm"&amp;"odity|crude|gold|natural gas""),""Commodity Trading Education"",
TRUE,""General Trading Education""
)
"),"General Trading Education")</f>
        <v>General Trading Education</v>
      </c>
    </row>
    <row r="383" ht="15.75" customHeight="1">
      <c r="A383" s="1" t="s">
        <v>1919</v>
      </c>
      <c r="B383" s="3" t="s">
        <v>1920</v>
      </c>
      <c r="C383" s="1" t="s">
        <v>1921</v>
      </c>
      <c r="D383" s="1" t="s">
        <v>1922</v>
      </c>
      <c r="E383" s="4">
        <v>44919.0</v>
      </c>
      <c r="F383" s="10">
        <v>1.9048611111111111</v>
      </c>
      <c r="G383" s="1">
        <v>15282.0</v>
      </c>
      <c r="H383" s="1">
        <v>492.0</v>
      </c>
      <c r="I383" s="1">
        <v>8.0</v>
      </c>
      <c r="J383" s="3" t="s">
        <v>1923</v>
      </c>
      <c r="K383" s="6">
        <f t="shared" si="1"/>
        <v>3.27182306</v>
      </c>
      <c r="L383" s="7">
        <f t="shared" si="2"/>
        <v>2743</v>
      </c>
      <c r="M383" s="8">
        <f t="shared" si="3"/>
        <v>44914</v>
      </c>
      <c r="N383" s="9" t="str">
        <f>IFERROR(__xludf.DUMMYFUNCTION("IFS(
REGEXMATCH(LOWER(A383),""option|options""),""Options Strategy Education"",
REGEXMATCH(LOWER(A383),""bank nifty|nifty|index""),""Index Options"",
REGEXMATCH(LOWER(A383),""algo|api|systematic""),""Algo Trading / API Tutorial"",
REGEXMATCH(LOWER(A383),"&amp;"""groww|mtf|margin|pledge""),""Platform / Groww Feature Tutorial"",
REGEXMATCH(LOWER(A383),""candlestick|chart|price action|trendline|rsi|indicator""),""Technical Analysis / Chart Patterns"",
REGEXMATCH(LOWER(A383),""beginner|guide|start trading""),""Begi"&amp;"nner Trading Education"",
REGEXMATCH(LOWER(A383),""interview|journey|talks|wisdom""),""Expert Interview / Trading Insights"",
REGEXMATCH(LOWER(A383),""risk|loss|drawdown|psychology""),""Trading Psychology / Risk Management"",
REGEXMATCH(LOWER(A383),""comm"&amp;"odity|crude|gold|natural gas""),""Commodity Trading Education"",
TRUE,""General Trading Education""
)
"),"Technical Analysis / Chart Patterns")</f>
        <v>Technical Analysis / Chart Patterns</v>
      </c>
    </row>
    <row r="384" ht="15.75" customHeight="1">
      <c r="A384" s="1" t="s">
        <v>1924</v>
      </c>
      <c r="B384" s="3" t="s">
        <v>1925</v>
      </c>
      <c r="C384" s="1" t="s">
        <v>1926</v>
      </c>
      <c r="D384" s="1" t="s">
        <v>1927</v>
      </c>
      <c r="E384" s="4">
        <v>44918.0</v>
      </c>
      <c r="F384" s="5">
        <v>0.3326388888888889</v>
      </c>
      <c r="G384" s="1">
        <v>385881.0</v>
      </c>
      <c r="H384" s="1">
        <v>4113.0</v>
      </c>
      <c r="I384" s="1">
        <v>63.0</v>
      </c>
      <c r="J384" s="3" t="s">
        <v>1928</v>
      </c>
      <c r="K384" s="6">
        <f t="shared" si="1"/>
        <v>1.082198916</v>
      </c>
      <c r="L384" s="7">
        <f t="shared" si="2"/>
        <v>479</v>
      </c>
      <c r="M384" s="8">
        <f t="shared" si="3"/>
        <v>44914</v>
      </c>
      <c r="N384" s="9" t="str">
        <f>IFERROR(__xludf.DUMMYFUNCTION("IFS(
REGEXMATCH(LOWER(A384),""option|options""),""Options Strategy Education"",
REGEXMATCH(LOWER(A384),""bank nifty|nifty|index""),""Index Options"",
REGEXMATCH(LOWER(A384),""algo|api|systematic""),""Algo Trading / API Tutorial"",
REGEXMATCH(LOWER(A384),"&amp;"""groww|mtf|margin|pledge""),""Platform / Groww Feature Tutorial"",
REGEXMATCH(LOWER(A384),""candlestick|chart|price action|trendline|rsi|indicator""),""Technical Analysis / Chart Patterns"",
REGEXMATCH(LOWER(A384),""beginner|guide|start trading""),""Begi"&amp;"nner Trading Education"",
REGEXMATCH(LOWER(A384),""interview|journey|talks|wisdom""),""Expert Interview / Trading Insights"",
REGEXMATCH(LOWER(A384),""risk|loss|drawdown|psychology""),""Trading Psychology / Risk Management"",
REGEXMATCH(LOWER(A384),""comm"&amp;"odity|crude|gold|natural gas""),""Commodity Trading Education"",
TRUE,""General Trading Education""
)
"),"Options Strategy Education")</f>
        <v>Options Strategy Education</v>
      </c>
    </row>
    <row r="385" ht="15.75" customHeight="1">
      <c r="A385" s="1" t="s">
        <v>1929</v>
      </c>
      <c r="B385" s="3" t="s">
        <v>1930</v>
      </c>
      <c r="C385" s="1" t="s">
        <v>1931</v>
      </c>
      <c r="D385" s="1" t="s">
        <v>1932</v>
      </c>
      <c r="E385" s="4">
        <v>44917.0</v>
      </c>
      <c r="F385" s="5">
        <v>0.43125</v>
      </c>
      <c r="G385" s="1">
        <v>4572.0</v>
      </c>
      <c r="H385" s="1">
        <v>333.0</v>
      </c>
      <c r="I385" s="1">
        <v>3.0</v>
      </c>
      <c r="J385" s="3" t="s">
        <v>1933</v>
      </c>
      <c r="K385" s="6">
        <f t="shared" si="1"/>
        <v>7.349081365</v>
      </c>
      <c r="L385" s="7">
        <f t="shared" si="2"/>
        <v>621</v>
      </c>
      <c r="M385" s="8">
        <f t="shared" si="3"/>
        <v>44914</v>
      </c>
      <c r="N385" s="9" t="str">
        <f>IFERROR(__xludf.DUMMYFUNCTION("IFS(
REGEXMATCH(LOWER(A385),""option|options""),""Options Strategy Education"",
REGEXMATCH(LOWER(A385),""bank nifty|nifty|index""),""Index Options"",
REGEXMATCH(LOWER(A385),""algo|api|systematic""),""Algo Trading / API Tutorial"",
REGEXMATCH(LOWER(A385),"&amp;"""groww|mtf|margin|pledge""),""Platform / Groww Feature Tutorial"",
REGEXMATCH(LOWER(A385),""candlestick|chart|price action|trendline|rsi|indicator""),""Technical Analysis / Chart Patterns"",
REGEXMATCH(LOWER(A385),""beginner|guide|start trading""),""Begi"&amp;"nner Trading Education"",
REGEXMATCH(LOWER(A385),""interview|journey|talks|wisdom""),""Expert Interview / Trading Insights"",
REGEXMATCH(LOWER(A385),""risk|loss|drawdown|psychology""),""Trading Psychology / Risk Management"",
REGEXMATCH(LOWER(A385),""comm"&amp;"odity|crude|gold|natural gas""),""Commodity Trading Education"",
TRUE,""General Trading Education""
)
"),"General Trading Education")</f>
        <v>General Trading Education</v>
      </c>
    </row>
    <row r="386" ht="15.75" customHeight="1">
      <c r="A386" s="1" t="s">
        <v>1934</v>
      </c>
      <c r="B386" s="3" t="s">
        <v>1935</v>
      </c>
      <c r="C386" s="1" t="s">
        <v>1936</v>
      </c>
      <c r="D386" s="1" t="s">
        <v>1937</v>
      </c>
      <c r="E386" s="4">
        <v>44915.0</v>
      </c>
      <c r="F386" s="5">
        <v>0.9090277777777778</v>
      </c>
      <c r="G386" s="1">
        <v>7504.0</v>
      </c>
      <c r="H386" s="1">
        <v>548.0</v>
      </c>
      <c r="I386" s="1">
        <v>29.0</v>
      </c>
      <c r="J386" s="3" t="s">
        <v>1938</v>
      </c>
      <c r="K386" s="6">
        <f t="shared" si="1"/>
        <v>7.689232409</v>
      </c>
      <c r="L386" s="7">
        <f t="shared" si="2"/>
        <v>1309</v>
      </c>
      <c r="M386" s="8">
        <f t="shared" si="3"/>
        <v>44914</v>
      </c>
      <c r="N386" s="9" t="str">
        <f>IFERROR(__xludf.DUMMYFUNCTION("IFS(
REGEXMATCH(LOWER(A386),""option|options""),""Options Strategy Education"",
REGEXMATCH(LOWER(A386),""bank nifty|nifty|index""),""Index Options"",
REGEXMATCH(LOWER(A386),""algo|api|systematic""),""Algo Trading / API Tutorial"",
REGEXMATCH(LOWER(A386),"&amp;"""groww|mtf|margin|pledge""),""Platform / Groww Feature Tutorial"",
REGEXMATCH(LOWER(A386),""candlestick|chart|price action|trendline|rsi|indicator""),""Technical Analysis / Chart Patterns"",
REGEXMATCH(LOWER(A386),""beginner|guide|start trading""),""Begi"&amp;"nner Trading Education"",
REGEXMATCH(LOWER(A386),""interview|journey|talks|wisdom""),""Expert Interview / Trading Insights"",
REGEXMATCH(LOWER(A386),""risk|loss|drawdown|psychology""),""Trading Psychology / Risk Management"",
REGEXMATCH(LOWER(A386),""comm"&amp;"odity|crude|gold|natural gas""),""Commodity Trading Education"",
TRUE,""General Trading Education""
)
"),"Options Strategy Education")</f>
        <v>Options Strategy Education</v>
      </c>
    </row>
    <row r="387" ht="15.75" customHeight="1">
      <c r="A387" s="1" t="s">
        <v>1939</v>
      </c>
      <c r="B387" s="3" t="s">
        <v>1940</v>
      </c>
      <c r="C387" s="1" t="s">
        <v>1941</v>
      </c>
      <c r="D387" s="1" t="s">
        <v>1942</v>
      </c>
      <c r="E387" s="4">
        <v>44914.0</v>
      </c>
      <c r="F387" s="5">
        <v>0.475</v>
      </c>
      <c r="G387" s="1">
        <v>8213.0</v>
      </c>
      <c r="H387" s="1">
        <v>501.0</v>
      </c>
      <c r="I387" s="1">
        <v>22.0</v>
      </c>
      <c r="J387" s="3" t="s">
        <v>1943</v>
      </c>
      <c r="K387" s="6">
        <f t="shared" si="1"/>
        <v>6.367953245</v>
      </c>
      <c r="L387" s="7">
        <f t="shared" si="2"/>
        <v>684</v>
      </c>
      <c r="M387" s="8">
        <f t="shared" si="3"/>
        <v>44914</v>
      </c>
      <c r="N387" s="9" t="str">
        <f>IFERROR(__xludf.DUMMYFUNCTION("IFS(
REGEXMATCH(LOWER(A387),""option|options""),""Options Strategy Education"",
REGEXMATCH(LOWER(A387),""bank nifty|nifty|index""),""Index Options"",
REGEXMATCH(LOWER(A387),""algo|api|systematic""),""Algo Trading / API Tutorial"",
REGEXMATCH(LOWER(A387),"&amp;"""groww|mtf|margin|pledge""),""Platform / Groww Feature Tutorial"",
REGEXMATCH(LOWER(A387),""candlestick|chart|price action|trendline|rsi|indicator""),""Technical Analysis / Chart Patterns"",
REGEXMATCH(LOWER(A387),""beginner|guide|start trading""),""Begi"&amp;"nner Trading Education"",
REGEXMATCH(LOWER(A387),""interview|journey|talks|wisdom""),""Expert Interview / Trading Insights"",
REGEXMATCH(LOWER(A387),""risk|loss|drawdown|psychology""),""Trading Psychology / Risk Management"",
REGEXMATCH(LOWER(A387),""comm"&amp;"odity|crude|gold|natural gas""),""Commodity Trading Education"",
TRUE,""General Trading Education""
)
"),"Options Strategy Education")</f>
        <v>Options Strategy Education</v>
      </c>
    </row>
    <row r="388" ht="15.75" customHeight="1">
      <c r="A388" s="1" t="s">
        <v>1944</v>
      </c>
      <c r="B388" s="3" t="s">
        <v>1945</v>
      </c>
      <c r="C388" s="1" t="s">
        <v>1946</v>
      </c>
      <c r="D388" s="1" t="s">
        <v>1947</v>
      </c>
      <c r="E388" s="4">
        <v>44912.0</v>
      </c>
      <c r="F388" s="10">
        <v>2.1993055555555556</v>
      </c>
      <c r="G388" s="1">
        <v>6400.0</v>
      </c>
      <c r="H388" s="1">
        <v>251.0</v>
      </c>
      <c r="I388" s="1">
        <v>6.0</v>
      </c>
      <c r="J388" s="3" t="s">
        <v>1948</v>
      </c>
      <c r="K388" s="6">
        <f t="shared" si="1"/>
        <v>4.015625</v>
      </c>
      <c r="L388" s="7">
        <f t="shared" si="2"/>
        <v>3167</v>
      </c>
      <c r="M388" s="8">
        <f t="shared" si="3"/>
        <v>44907</v>
      </c>
      <c r="N388" s="9" t="str">
        <f>IFERROR(__xludf.DUMMYFUNCTION("IFS(
REGEXMATCH(LOWER(A388),""option|options""),""Options Strategy Education"",
REGEXMATCH(LOWER(A388),""bank nifty|nifty|index""),""Index Options"",
REGEXMATCH(LOWER(A388),""algo|api|systematic""),""Algo Trading / API Tutorial"",
REGEXMATCH(LOWER(A388),"&amp;"""groww|mtf|margin|pledge""),""Platform / Groww Feature Tutorial"",
REGEXMATCH(LOWER(A388),""candlestick|chart|price action|trendline|rsi|indicator""),""Technical Analysis / Chart Patterns"",
REGEXMATCH(LOWER(A388),""beginner|guide|start trading""),""Begi"&amp;"nner Trading Education"",
REGEXMATCH(LOWER(A388),""interview|journey|talks|wisdom""),""Expert Interview / Trading Insights"",
REGEXMATCH(LOWER(A388),""risk|loss|drawdown|psychology""),""Trading Psychology / Risk Management"",
REGEXMATCH(LOWER(A388),""comm"&amp;"odity|crude|gold|natural gas""),""Commodity Trading Education"",
TRUE,""General Trading Education""
)
"),"Technical Analysis / Chart Patterns")</f>
        <v>Technical Analysis / Chart Patterns</v>
      </c>
    </row>
    <row r="389" ht="15.75" customHeight="1">
      <c r="A389" s="1" t="s">
        <v>1949</v>
      </c>
      <c r="B389" s="3" t="s">
        <v>1950</v>
      </c>
      <c r="C389" s="1" t="s">
        <v>1951</v>
      </c>
      <c r="D389" s="1" t="s">
        <v>1952</v>
      </c>
      <c r="E389" s="4">
        <v>44911.0</v>
      </c>
      <c r="F389" s="5">
        <v>0.7666666666666667</v>
      </c>
      <c r="G389" s="1">
        <v>3453.0</v>
      </c>
      <c r="H389" s="1">
        <v>228.0</v>
      </c>
      <c r="I389" s="1">
        <v>11.0</v>
      </c>
      <c r="J389" s="3" t="s">
        <v>1953</v>
      </c>
      <c r="K389" s="6">
        <f t="shared" si="1"/>
        <v>6.921517521</v>
      </c>
      <c r="L389" s="7">
        <f t="shared" si="2"/>
        <v>1104</v>
      </c>
      <c r="M389" s="8">
        <f t="shared" si="3"/>
        <v>44907</v>
      </c>
      <c r="N389" s="9" t="str">
        <f>IFERROR(__xludf.DUMMYFUNCTION("IFS(
REGEXMATCH(LOWER(A389),""option|options""),""Options Strategy Education"",
REGEXMATCH(LOWER(A389),""bank nifty|nifty|index""),""Index Options"",
REGEXMATCH(LOWER(A389),""algo|api|systematic""),""Algo Trading / API Tutorial"",
REGEXMATCH(LOWER(A389),"&amp;"""groww|mtf|margin|pledge""),""Platform / Groww Feature Tutorial"",
REGEXMATCH(LOWER(A389),""candlestick|chart|price action|trendline|rsi|indicator""),""Technical Analysis / Chart Patterns"",
REGEXMATCH(LOWER(A389),""beginner|guide|start trading""),""Begi"&amp;"nner Trading Education"",
REGEXMATCH(LOWER(A389),""interview|journey|talks|wisdom""),""Expert Interview / Trading Insights"",
REGEXMATCH(LOWER(A389),""risk|loss|drawdown|psychology""),""Trading Psychology / Risk Management"",
REGEXMATCH(LOWER(A389),""comm"&amp;"odity|crude|gold|natural gas""),""Commodity Trading Education"",
TRUE,""General Trading Education""
)
"),"General Trading Education")</f>
        <v>General Trading Education</v>
      </c>
    </row>
    <row r="390" ht="15.75" customHeight="1">
      <c r="A390" s="1" t="s">
        <v>1954</v>
      </c>
      <c r="B390" s="3" t="s">
        <v>1955</v>
      </c>
      <c r="C390" s="1" t="s">
        <v>1956</v>
      </c>
      <c r="D390" s="1" t="s">
        <v>1957</v>
      </c>
      <c r="E390" s="4">
        <v>44909.0</v>
      </c>
      <c r="F390" s="5">
        <v>0.5131944444444444</v>
      </c>
      <c r="G390" s="1">
        <v>5817.0</v>
      </c>
      <c r="H390" s="1">
        <v>402.0</v>
      </c>
      <c r="I390" s="1">
        <v>16.0</v>
      </c>
      <c r="J390" s="3" t="s">
        <v>1958</v>
      </c>
      <c r="K390" s="6">
        <f t="shared" si="1"/>
        <v>7.185834623</v>
      </c>
      <c r="L390" s="7">
        <f t="shared" si="2"/>
        <v>739</v>
      </c>
      <c r="M390" s="8">
        <f t="shared" si="3"/>
        <v>44907</v>
      </c>
      <c r="N390" s="9" t="str">
        <f>IFERROR(__xludf.DUMMYFUNCTION("IFS(
REGEXMATCH(LOWER(A390),""option|options""),""Options Strategy Education"",
REGEXMATCH(LOWER(A390),""bank nifty|nifty|index""),""Index Options"",
REGEXMATCH(LOWER(A390),""algo|api|systematic""),""Algo Trading / API Tutorial"",
REGEXMATCH(LOWER(A390),"&amp;"""groww|mtf|margin|pledge""),""Platform / Groww Feature Tutorial"",
REGEXMATCH(LOWER(A390),""candlestick|chart|price action|trendline|rsi|indicator""),""Technical Analysis / Chart Patterns"",
REGEXMATCH(LOWER(A390),""beginner|guide|start trading""),""Begi"&amp;"nner Trading Education"",
REGEXMATCH(LOWER(A390),""interview|journey|talks|wisdom""),""Expert Interview / Trading Insights"",
REGEXMATCH(LOWER(A390),""risk|loss|drawdown|psychology""),""Trading Psychology / Risk Management"",
REGEXMATCH(LOWER(A390),""comm"&amp;"odity|crude|gold|natural gas""),""Commodity Trading Education"",
TRUE,""General Trading Education""
)
"),"General Trading Education")</f>
        <v>General Trading Education</v>
      </c>
    </row>
    <row r="391" ht="15.75" customHeight="1">
      <c r="A391" s="1" t="s">
        <v>1959</v>
      </c>
      <c r="B391" s="3" t="s">
        <v>1960</v>
      </c>
      <c r="C391" s="1" t="s">
        <v>1961</v>
      </c>
      <c r="D391" s="1" t="s">
        <v>1962</v>
      </c>
      <c r="E391" s="4">
        <v>44908.0</v>
      </c>
      <c r="F391" s="5">
        <v>0.6090277777777777</v>
      </c>
      <c r="G391" s="1">
        <v>66721.0</v>
      </c>
      <c r="H391" s="1">
        <v>2235.0</v>
      </c>
      <c r="I391" s="1">
        <v>44.0</v>
      </c>
      <c r="J391" s="3" t="s">
        <v>1963</v>
      </c>
      <c r="K391" s="6">
        <f t="shared" si="1"/>
        <v>3.415716191</v>
      </c>
      <c r="L391" s="7">
        <f t="shared" si="2"/>
        <v>877</v>
      </c>
      <c r="M391" s="8">
        <f t="shared" si="3"/>
        <v>44907</v>
      </c>
      <c r="N391" s="9" t="str">
        <f>IFERROR(__xludf.DUMMYFUNCTION("IFS(
REGEXMATCH(LOWER(A391),""option|options""),""Options Strategy Education"",
REGEXMATCH(LOWER(A391),""bank nifty|nifty|index""),""Index Options"",
REGEXMATCH(LOWER(A391),""algo|api|systematic""),""Algo Trading / API Tutorial"",
REGEXMATCH(LOWER(A391),"&amp;"""groww|mtf|margin|pledge""),""Platform / Groww Feature Tutorial"",
REGEXMATCH(LOWER(A391),""candlestick|chart|price action|trendline|rsi|indicator""),""Technical Analysis / Chart Patterns"",
REGEXMATCH(LOWER(A391),""beginner|guide|start trading""),""Begi"&amp;"nner Trading Education"",
REGEXMATCH(LOWER(A391),""interview|journey|talks|wisdom""),""Expert Interview / Trading Insights"",
REGEXMATCH(LOWER(A391),""risk|loss|drawdown|psychology""),""Trading Psychology / Risk Management"",
REGEXMATCH(LOWER(A391),""comm"&amp;"odity|crude|gold|natural gas""),""Commodity Trading Education"",
TRUE,""General Trading Education""
)
"),"Beginner Trading Education")</f>
        <v>Beginner Trading Education</v>
      </c>
    </row>
    <row r="392" ht="15.75" customHeight="1">
      <c r="A392" s="1" t="s">
        <v>1964</v>
      </c>
      <c r="B392" s="3" t="s">
        <v>1965</v>
      </c>
      <c r="C392" s="1" t="s">
        <v>1966</v>
      </c>
      <c r="D392" s="1" t="s">
        <v>1967</v>
      </c>
      <c r="E392" s="4">
        <v>44907.0</v>
      </c>
      <c r="F392" s="5">
        <v>0.5277777777777778</v>
      </c>
      <c r="G392" s="1">
        <v>20089.0</v>
      </c>
      <c r="H392" s="1">
        <v>536.0</v>
      </c>
      <c r="I392" s="1">
        <v>43.0</v>
      </c>
      <c r="J392" s="3" t="s">
        <v>1968</v>
      </c>
      <c r="K392" s="6">
        <f t="shared" si="1"/>
        <v>2.882174324</v>
      </c>
      <c r="L392" s="7">
        <f t="shared" si="2"/>
        <v>760</v>
      </c>
      <c r="M392" s="8">
        <f t="shared" si="3"/>
        <v>44907</v>
      </c>
      <c r="N392" s="9" t="str">
        <f>IFERROR(__xludf.DUMMYFUNCTION("IFS(
REGEXMATCH(LOWER(A392),""option|options""),""Options Strategy Education"",
REGEXMATCH(LOWER(A392),""bank nifty|nifty|index""),""Index Options"",
REGEXMATCH(LOWER(A392),""algo|api|systematic""),""Algo Trading / API Tutorial"",
REGEXMATCH(LOWER(A392),"&amp;"""groww|mtf|margin|pledge""),""Platform / Groww Feature Tutorial"",
REGEXMATCH(LOWER(A392),""candlestick|chart|price action|trendline|rsi|indicator""),""Technical Analysis / Chart Patterns"",
REGEXMATCH(LOWER(A392),""beginner|guide|start trading""),""Begi"&amp;"nner Trading Education"",
REGEXMATCH(LOWER(A392),""interview|journey|talks|wisdom""),""Expert Interview / Trading Insights"",
REGEXMATCH(LOWER(A392),""risk|loss|drawdown|psychology""),""Trading Psychology / Risk Management"",
REGEXMATCH(LOWER(A392),""comm"&amp;"odity|crude|gold|natural gas""),""Commodity Trading Education"",
TRUE,""General Trading Education""
)
"),"General Trading Education")</f>
        <v>General Trading Education</v>
      </c>
    </row>
    <row r="393" ht="15.75" customHeight="1">
      <c r="A393" s="1" t="s">
        <v>1969</v>
      </c>
      <c r="B393" s="3" t="s">
        <v>1970</v>
      </c>
      <c r="C393" s="1" t="s">
        <v>1971</v>
      </c>
      <c r="D393" s="1" t="s">
        <v>1972</v>
      </c>
      <c r="E393" s="4">
        <v>44904.0</v>
      </c>
      <c r="F393" s="5">
        <v>0.3888888888888889</v>
      </c>
      <c r="G393" s="1">
        <v>24008.0</v>
      </c>
      <c r="H393" s="1">
        <v>452.0</v>
      </c>
      <c r="I393" s="1">
        <v>21.0</v>
      </c>
      <c r="J393" s="3" t="s">
        <v>1973</v>
      </c>
      <c r="K393" s="6">
        <f t="shared" si="1"/>
        <v>1.970176608</v>
      </c>
      <c r="L393" s="7">
        <f t="shared" si="2"/>
        <v>560</v>
      </c>
      <c r="M393" s="8">
        <f t="shared" si="3"/>
        <v>44900</v>
      </c>
      <c r="N393" s="9" t="str">
        <f>IFERROR(__xludf.DUMMYFUNCTION("IFS(
REGEXMATCH(LOWER(A393),""option|options""),""Options Strategy Education"",
REGEXMATCH(LOWER(A393),""bank nifty|nifty|index""),""Index Options"",
REGEXMATCH(LOWER(A393),""algo|api|systematic""),""Algo Trading / API Tutorial"",
REGEXMATCH(LOWER(A393),"&amp;"""groww|mtf|margin|pledge""),""Platform / Groww Feature Tutorial"",
REGEXMATCH(LOWER(A393),""candlestick|chart|price action|trendline|rsi|indicator""),""Technical Analysis / Chart Patterns"",
REGEXMATCH(LOWER(A393),""beginner|guide|start trading""),""Begi"&amp;"nner Trading Education"",
REGEXMATCH(LOWER(A393),""interview|journey|talks|wisdom""),""Expert Interview / Trading Insights"",
REGEXMATCH(LOWER(A393),""risk|loss|drawdown|psychology""),""Trading Psychology / Risk Management"",
REGEXMATCH(LOWER(A393),""comm"&amp;"odity|crude|gold|natural gas""),""Commodity Trading Education"",
TRUE,""General Trading Education""
)
"),"Platform / Groww Feature Tutorial")</f>
        <v>Platform / Groww Feature Tutorial</v>
      </c>
    </row>
    <row r="394" ht="15.75" customHeight="1">
      <c r="A394" s="1" t="s">
        <v>1974</v>
      </c>
      <c r="B394" s="3" t="s">
        <v>1975</v>
      </c>
      <c r="C394" s="1" t="s">
        <v>1976</v>
      </c>
      <c r="D394" s="1" t="s">
        <v>1977</v>
      </c>
      <c r="E394" s="4">
        <v>44902.0</v>
      </c>
      <c r="F394" s="5">
        <v>0.8145833333333333</v>
      </c>
      <c r="G394" s="1">
        <v>30350.0</v>
      </c>
      <c r="H394" s="1">
        <v>1271.0</v>
      </c>
      <c r="I394" s="1">
        <v>33.0</v>
      </c>
      <c r="J394" s="3" t="s">
        <v>1978</v>
      </c>
      <c r="K394" s="6">
        <f t="shared" si="1"/>
        <v>4.296540362</v>
      </c>
      <c r="L394" s="7">
        <f t="shared" si="2"/>
        <v>1173</v>
      </c>
      <c r="M394" s="8">
        <f t="shared" si="3"/>
        <v>44900</v>
      </c>
      <c r="N394" s="9" t="str">
        <f>IFERROR(__xludf.DUMMYFUNCTION("IFS(
REGEXMATCH(LOWER(A394),""option|options""),""Options Strategy Education"",
REGEXMATCH(LOWER(A394),""bank nifty|nifty|index""),""Index Options"",
REGEXMATCH(LOWER(A394),""algo|api|systematic""),""Algo Trading / API Tutorial"",
REGEXMATCH(LOWER(A394),"&amp;"""groww|mtf|margin|pledge""),""Platform / Groww Feature Tutorial"",
REGEXMATCH(LOWER(A394),""candlestick|chart|price action|trendline|rsi|indicator""),""Technical Analysis / Chart Patterns"",
REGEXMATCH(LOWER(A394),""beginner|guide|start trading""),""Begi"&amp;"nner Trading Education"",
REGEXMATCH(LOWER(A394),""interview|journey|talks|wisdom""),""Expert Interview / Trading Insights"",
REGEXMATCH(LOWER(A394),""risk|loss|drawdown|psychology""),""Trading Psychology / Risk Management"",
REGEXMATCH(LOWER(A394),""comm"&amp;"odity|crude|gold|natural gas""),""Commodity Trading Education"",
TRUE,""General Trading Education""
)
"),"Options Strategy Education")</f>
        <v>Options Strategy Education</v>
      </c>
    </row>
    <row r="395" ht="15.75" customHeight="1">
      <c r="A395" s="1" t="s">
        <v>1979</v>
      </c>
      <c r="B395" s="3" t="s">
        <v>1980</v>
      </c>
      <c r="C395" s="1" t="s">
        <v>1981</v>
      </c>
      <c r="D395" s="1" t="s">
        <v>1982</v>
      </c>
      <c r="E395" s="4">
        <v>44901.0</v>
      </c>
      <c r="F395" s="5">
        <v>0.55</v>
      </c>
      <c r="G395" s="1">
        <v>70548.0</v>
      </c>
      <c r="H395" s="1">
        <v>2268.0</v>
      </c>
      <c r="I395" s="1">
        <v>36.0</v>
      </c>
      <c r="J395" s="3" t="s">
        <v>1983</v>
      </c>
      <c r="K395" s="6">
        <f t="shared" si="1"/>
        <v>3.265861541</v>
      </c>
      <c r="L395" s="7">
        <f t="shared" si="2"/>
        <v>792</v>
      </c>
      <c r="M395" s="8">
        <f t="shared" si="3"/>
        <v>44900</v>
      </c>
      <c r="N395" s="9" t="str">
        <f>IFERROR(__xludf.DUMMYFUNCTION("IFS(
REGEXMATCH(LOWER(A395),""option|options""),""Options Strategy Education"",
REGEXMATCH(LOWER(A395),""bank nifty|nifty|index""),""Index Options"",
REGEXMATCH(LOWER(A395),""algo|api|systematic""),""Algo Trading / API Tutorial"",
REGEXMATCH(LOWER(A395),"&amp;"""groww|mtf|margin|pledge""),""Platform / Groww Feature Tutorial"",
REGEXMATCH(LOWER(A395),""candlestick|chart|price action|trendline|rsi|indicator""),""Technical Analysis / Chart Patterns"",
REGEXMATCH(LOWER(A395),""beginner|guide|start trading""),""Begi"&amp;"nner Trading Education"",
REGEXMATCH(LOWER(A395),""interview|journey|talks|wisdom""),""Expert Interview / Trading Insights"",
REGEXMATCH(LOWER(A395),""risk|loss|drawdown|psychology""),""Trading Psychology / Risk Management"",
REGEXMATCH(LOWER(A395),""comm"&amp;"odity|crude|gold|natural gas""),""Commodity Trading Education"",
TRUE,""General Trading Education""
)
"),"Technical Analysis / Chart Patterns")</f>
        <v>Technical Analysis / Chart Patterns</v>
      </c>
    </row>
    <row r="396" ht="15.75" customHeight="1">
      <c r="A396" s="1" t="s">
        <v>1984</v>
      </c>
      <c r="B396" s="3" t="s">
        <v>1985</v>
      </c>
      <c r="C396" s="1" t="s">
        <v>1986</v>
      </c>
      <c r="D396" s="1" t="s">
        <v>1987</v>
      </c>
      <c r="E396" s="4">
        <v>44900.0</v>
      </c>
      <c r="F396" s="5">
        <v>0.5930555555555556</v>
      </c>
      <c r="G396" s="1">
        <v>9368.0</v>
      </c>
      <c r="H396" s="1">
        <v>374.0</v>
      </c>
      <c r="I396" s="1">
        <v>15.0</v>
      </c>
      <c r="J396" s="3" t="s">
        <v>1988</v>
      </c>
      <c r="K396" s="6">
        <f t="shared" si="1"/>
        <v>4.152433817</v>
      </c>
      <c r="L396" s="7">
        <f t="shared" si="2"/>
        <v>854</v>
      </c>
      <c r="M396" s="8">
        <f t="shared" si="3"/>
        <v>44900</v>
      </c>
      <c r="N396" s="9" t="str">
        <f>IFERROR(__xludf.DUMMYFUNCTION("IFS(
REGEXMATCH(LOWER(A396),""option|options""),""Options Strategy Education"",
REGEXMATCH(LOWER(A396),""bank nifty|nifty|index""),""Index Options"",
REGEXMATCH(LOWER(A396),""algo|api|systematic""),""Algo Trading / API Tutorial"",
REGEXMATCH(LOWER(A396),"&amp;"""groww|mtf|margin|pledge""),""Platform / Groww Feature Tutorial"",
REGEXMATCH(LOWER(A396),""candlestick|chart|price action|trendline|rsi|indicator""),""Technical Analysis / Chart Patterns"",
REGEXMATCH(LOWER(A396),""beginner|guide|start trading""),""Begi"&amp;"nner Trading Education"",
REGEXMATCH(LOWER(A396),""interview|journey|talks|wisdom""),""Expert Interview / Trading Insights"",
REGEXMATCH(LOWER(A396),""risk|loss|drawdown|psychology""),""Trading Psychology / Risk Management"",
REGEXMATCH(LOWER(A396),""comm"&amp;"odity|crude|gold|natural gas""),""Commodity Trading Education"",
TRUE,""General Trading Education""
)
"),"General Trading Education")</f>
        <v>General Trading Education</v>
      </c>
    </row>
    <row r="397" ht="15.75" customHeight="1">
      <c r="A397" s="1" t="s">
        <v>1989</v>
      </c>
      <c r="B397" s="3" t="s">
        <v>1990</v>
      </c>
      <c r="C397" s="1" t="s">
        <v>1991</v>
      </c>
      <c r="D397" s="1" t="s">
        <v>1992</v>
      </c>
      <c r="E397" s="4">
        <v>44898.0</v>
      </c>
      <c r="F397" s="10">
        <v>1.8465277777777778</v>
      </c>
      <c r="G397" s="1">
        <v>7320.0</v>
      </c>
      <c r="H397" s="1">
        <v>295.0</v>
      </c>
      <c r="I397" s="1">
        <v>10.0</v>
      </c>
      <c r="J397" s="3" t="s">
        <v>1993</v>
      </c>
      <c r="K397" s="6">
        <f t="shared" si="1"/>
        <v>4.166666667</v>
      </c>
      <c r="L397" s="7">
        <f t="shared" si="2"/>
        <v>2659</v>
      </c>
      <c r="M397" s="8">
        <f t="shared" si="3"/>
        <v>44893</v>
      </c>
      <c r="N397" s="9" t="str">
        <f>IFERROR(__xludf.DUMMYFUNCTION("IFS(
REGEXMATCH(LOWER(A397),""option|options""),""Options Strategy Education"",
REGEXMATCH(LOWER(A397),""bank nifty|nifty|index""),""Index Options"",
REGEXMATCH(LOWER(A397),""algo|api|systematic""),""Algo Trading / API Tutorial"",
REGEXMATCH(LOWER(A397),"&amp;"""groww|mtf|margin|pledge""),""Platform / Groww Feature Tutorial"",
REGEXMATCH(LOWER(A397),""candlestick|chart|price action|trendline|rsi|indicator""),""Technical Analysis / Chart Patterns"",
REGEXMATCH(LOWER(A397),""beginner|guide|start trading""),""Begi"&amp;"nner Trading Education"",
REGEXMATCH(LOWER(A397),""interview|journey|talks|wisdom""),""Expert Interview / Trading Insights"",
REGEXMATCH(LOWER(A397),""risk|loss|drawdown|psychology""),""Trading Psychology / Risk Management"",
REGEXMATCH(LOWER(A397),""comm"&amp;"odity|crude|gold|natural gas""),""Commodity Trading Education"",
TRUE,""General Trading Education""
)
"),"Algo Trading / API Tutorial")</f>
        <v>Algo Trading / API Tutorial</v>
      </c>
    </row>
    <row r="398" ht="15.75" customHeight="1">
      <c r="A398" s="1" t="s">
        <v>1994</v>
      </c>
      <c r="B398" s="3" t="s">
        <v>1995</v>
      </c>
      <c r="C398" s="1" t="s">
        <v>1996</v>
      </c>
      <c r="D398" s="1" t="s">
        <v>1997</v>
      </c>
      <c r="E398" s="4">
        <v>44897.0</v>
      </c>
      <c r="F398" s="10">
        <v>1.0868055555555556</v>
      </c>
      <c r="G398" s="1">
        <v>18264.0</v>
      </c>
      <c r="H398" s="1">
        <v>700.0</v>
      </c>
      <c r="I398" s="1">
        <v>26.0</v>
      </c>
      <c r="J398" s="3" t="s">
        <v>1998</v>
      </c>
      <c r="K398" s="6">
        <f t="shared" si="1"/>
        <v>3.975032852</v>
      </c>
      <c r="L398" s="7">
        <f t="shared" si="2"/>
        <v>1565</v>
      </c>
      <c r="M398" s="8">
        <f t="shared" si="3"/>
        <v>44893</v>
      </c>
      <c r="N398" s="9" t="str">
        <f>IFERROR(__xludf.DUMMYFUNCTION("IFS(
REGEXMATCH(LOWER(A398),""option|options""),""Options Strategy Education"",
REGEXMATCH(LOWER(A398),""bank nifty|nifty|index""),""Index Options"",
REGEXMATCH(LOWER(A398),""algo|api|systematic""),""Algo Trading / API Tutorial"",
REGEXMATCH(LOWER(A398),"&amp;"""groww|mtf|margin|pledge""),""Platform / Groww Feature Tutorial"",
REGEXMATCH(LOWER(A398),""candlestick|chart|price action|trendline|rsi|indicator""),""Technical Analysis / Chart Patterns"",
REGEXMATCH(LOWER(A398),""beginner|guide|start trading""),""Begi"&amp;"nner Trading Education"",
REGEXMATCH(LOWER(A398),""interview|journey|talks|wisdom""),""Expert Interview / Trading Insights"",
REGEXMATCH(LOWER(A398),""risk|loss|drawdown|psychology""),""Trading Psychology / Risk Management"",
REGEXMATCH(LOWER(A398),""comm"&amp;"odity|crude|gold|natural gas""),""Commodity Trading Education"",
TRUE,""General Trading Education""
)
"),"Beginner Trading Education")</f>
        <v>Beginner Trading Education</v>
      </c>
    </row>
    <row r="399" ht="15.75" customHeight="1">
      <c r="A399" s="1" t="s">
        <v>1999</v>
      </c>
      <c r="B399" s="3" t="s">
        <v>2000</v>
      </c>
      <c r="C399" s="1" t="s">
        <v>2001</v>
      </c>
      <c r="D399" s="1" t="s">
        <v>2002</v>
      </c>
      <c r="E399" s="4">
        <v>44895.0</v>
      </c>
      <c r="F399" s="5">
        <v>0.60625</v>
      </c>
      <c r="G399" s="1">
        <v>17792.0</v>
      </c>
      <c r="H399" s="1">
        <v>756.0</v>
      </c>
      <c r="I399" s="1">
        <v>32.0</v>
      </c>
      <c r="J399" s="3" t="s">
        <v>2003</v>
      </c>
      <c r="K399" s="6">
        <f t="shared" si="1"/>
        <v>4.428956835</v>
      </c>
      <c r="L399" s="7">
        <f t="shared" si="2"/>
        <v>873</v>
      </c>
      <c r="M399" s="8">
        <f t="shared" si="3"/>
        <v>44893</v>
      </c>
      <c r="N399" s="9" t="str">
        <f>IFERROR(__xludf.DUMMYFUNCTION("IFS(
REGEXMATCH(LOWER(A399),""option|options""),""Options Strategy Education"",
REGEXMATCH(LOWER(A399),""bank nifty|nifty|index""),""Index Options"",
REGEXMATCH(LOWER(A399),""algo|api|systematic""),""Algo Trading / API Tutorial"",
REGEXMATCH(LOWER(A399),"&amp;"""groww|mtf|margin|pledge""),""Platform / Groww Feature Tutorial"",
REGEXMATCH(LOWER(A399),""candlestick|chart|price action|trendline|rsi|indicator""),""Technical Analysis / Chart Patterns"",
REGEXMATCH(LOWER(A399),""beginner|guide|start trading""),""Begi"&amp;"nner Trading Education"",
REGEXMATCH(LOWER(A399),""interview|journey|talks|wisdom""),""Expert Interview / Trading Insights"",
REGEXMATCH(LOWER(A399),""risk|loss|drawdown|psychology""),""Trading Psychology / Risk Management"",
REGEXMATCH(LOWER(A399),""comm"&amp;"odity|crude|gold|natural gas""),""Commodity Trading Education"",
TRUE,""General Trading Education""
)
"),"Index Options")</f>
        <v>Index Options</v>
      </c>
    </row>
    <row r="400" ht="15.75" customHeight="1">
      <c r="A400" s="1" t="s">
        <v>2004</v>
      </c>
      <c r="B400" s="3" t="s">
        <v>2005</v>
      </c>
      <c r="C400" s="1" t="s">
        <v>2006</v>
      </c>
      <c r="D400" s="1" t="s">
        <v>2007</v>
      </c>
      <c r="E400" s="4">
        <v>44894.0</v>
      </c>
      <c r="F400" s="5">
        <v>0.5277777777777778</v>
      </c>
      <c r="G400" s="1">
        <v>4218.0</v>
      </c>
      <c r="H400" s="1">
        <v>409.0</v>
      </c>
      <c r="I400" s="1">
        <v>8.0</v>
      </c>
      <c r="J400" s="3" t="s">
        <v>2008</v>
      </c>
      <c r="K400" s="6">
        <f t="shared" si="1"/>
        <v>9.886201991</v>
      </c>
      <c r="L400" s="7">
        <f t="shared" si="2"/>
        <v>760</v>
      </c>
      <c r="M400" s="8">
        <f t="shared" si="3"/>
        <v>44893</v>
      </c>
      <c r="N400" s="9" t="str">
        <f>IFERROR(__xludf.DUMMYFUNCTION("IFS(
REGEXMATCH(LOWER(A400),""option|options""),""Options Strategy Education"",
REGEXMATCH(LOWER(A400),""bank nifty|nifty|index""),""Index Options"",
REGEXMATCH(LOWER(A400),""algo|api|systematic""),""Algo Trading / API Tutorial"",
REGEXMATCH(LOWER(A400),"&amp;"""groww|mtf|margin|pledge""),""Platform / Groww Feature Tutorial"",
REGEXMATCH(LOWER(A400),""candlestick|chart|price action|trendline|rsi|indicator""),""Technical Analysis / Chart Patterns"",
REGEXMATCH(LOWER(A400),""beginner|guide|start trading""),""Begi"&amp;"nner Trading Education"",
REGEXMATCH(LOWER(A400),""interview|journey|talks|wisdom""),""Expert Interview / Trading Insights"",
REGEXMATCH(LOWER(A400),""risk|loss|drawdown|psychology""),""Trading Psychology / Risk Management"",
REGEXMATCH(LOWER(A400),""comm"&amp;"odity|crude|gold|natural gas""),""Commodity Trading Education"",
TRUE,""General Trading Education""
)
"),"General Trading Education")</f>
        <v>General Trading Education</v>
      </c>
    </row>
    <row r="401" ht="15.75" customHeight="1">
      <c r="A401" s="1" t="s">
        <v>2009</v>
      </c>
      <c r="B401" s="3" t="s">
        <v>2010</v>
      </c>
      <c r="C401" s="1" t="s">
        <v>2011</v>
      </c>
      <c r="D401" s="1" t="s">
        <v>2012</v>
      </c>
      <c r="E401" s="4">
        <v>44893.0</v>
      </c>
      <c r="F401" s="5">
        <v>0.7729166666666667</v>
      </c>
      <c r="G401" s="1">
        <v>24835.0</v>
      </c>
      <c r="H401" s="1">
        <v>1000.0</v>
      </c>
      <c r="I401" s="1">
        <v>22.0</v>
      </c>
      <c r="J401" s="3" t="s">
        <v>2013</v>
      </c>
      <c r="K401" s="6">
        <f t="shared" si="1"/>
        <v>4.115160056</v>
      </c>
      <c r="L401" s="7">
        <f t="shared" si="2"/>
        <v>1113</v>
      </c>
      <c r="M401" s="8">
        <f t="shared" si="3"/>
        <v>44893</v>
      </c>
      <c r="N401" s="9" t="str">
        <f>IFERROR(__xludf.DUMMYFUNCTION("IFS(
REGEXMATCH(LOWER(A401),""option|options""),""Options Strategy Education"",
REGEXMATCH(LOWER(A401),""bank nifty|nifty|index""),""Index Options"",
REGEXMATCH(LOWER(A401),""algo|api|systematic""),""Algo Trading / API Tutorial"",
REGEXMATCH(LOWER(A401),"&amp;"""groww|mtf|margin|pledge""),""Platform / Groww Feature Tutorial"",
REGEXMATCH(LOWER(A401),""candlestick|chart|price action|trendline|rsi|indicator""),""Technical Analysis / Chart Patterns"",
REGEXMATCH(LOWER(A401),""beginner|guide|start trading""),""Begi"&amp;"nner Trading Education"",
REGEXMATCH(LOWER(A401),""interview|journey|talks|wisdom""),""Expert Interview / Trading Insights"",
REGEXMATCH(LOWER(A401),""risk|loss|drawdown|psychology""),""Trading Psychology / Risk Management"",
REGEXMATCH(LOWER(A401),""comm"&amp;"odity|crude|gold|natural gas""),""Commodity Trading Education"",
TRUE,""General Trading Education""
)
"),"General Trading Education")</f>
        <v>General Trading Education</v>
      </c>
    </row>
    <row r="402" ht="15.75" customHeight="1">
      <c r="A402" s="1" t="s">
        <v>2014</v>
      </c>
      <c r="B402" s="3" t="s">
        <v>2015</v>
      </c>
      <c r="C402" s="1" t="s">
        <v>2016</v>
      </c>
      <c r="D402" s="1" t="s">
        <v>2017</v>
      </c>
      <c r="E402" s="4">
        <v>44891.0</v>
      </c>
      <c r="F402" s="10">
        <v>1.9854166666666666</v>
      </c>
      <c r="G402" s="1">
        <v>39583.0</v>
      </c>
      <c r="H402" s="1">
        <v>924.0</v>
      </c>
      <c r="I402" s="1">
        <v>54.0</v>
      </c>
      <c r="J402" s="3" t="s">
        <v>2018</v>
      </c>
      <c r="K402" s="6">
        <f t="shared" si="1"/>
        <v>2.470757648</v>
      </c>
      <c r="L402" s="7">
        <f t="shared" si="2"/>
        <v>2859</v>
      </c>
      <c r="M402" s="8">
        <f t="shared" si="3"/>
        <v>44886</v>
      </c>
      <c r="N402" s="9" t="str">
        <f>IFERROR(__xludf.DUMMYFUNCTION("IFS(
REGEXMATCH(LOWER(A402),""option|options""),""Options Strategy Education"",
REGEXMATCH(LOWER(A402),""bank nifty|nifty|index""),""Index Options"",
REGEXMATCH(LOWER(A402),""algo|api|systematic""),""Algo Trading / API Tutorial"",
REGEXMATCH(LOWER(A402),"&amp;"""groww|mtf|margin|pledge""),""Platform / Groww Feature Tutorial"",
REGEXMATCH(LOWER(A402),""candlestick|chart|price action|trendline|rsi|indicator""),""Technical Analysis / Chart Patterns"",
REGEXMATCH(LOWER(A402),""beginner|guide|start trading""),""Begi"&amp;"nner Trading Education"",
REGEXMATCH(LOWER(A402),""interview|journey|talks|wisdom""),""Expert Interview / Trading Insights"",
REGEXMATCH(LOWER(A402),""risk|loss|drawdown|psychology""),""Trading Psychology / Risk Management"",
REGEXMATCH(LOWER(A402),""comm"&amp;"odity|crude|gold|natural gas""),""Commodity Trading Education"",
TRUE,""General Trading Education""
)
"),"Options Strategy Education")</f>
        <v>Options Strategy Education</v>
      </c>
    </row>
    <row r="403" ht="15.75" customHeight="1">
      <c r="A403" s="1" t="s">
        <v>2019</v>
      </c>
      <c r="B403" s="3" t="s">
        <v>2020</v>
      </c>
      <c r="C403" s="1" t="s">
        <v>2021</v>
      </c>
      <c r="D403" s="1" t="s">
        <v>2022</v>
      </c>
      <c r="E403" s="4">
        <v>44890.0</v>
      </c>
      <c r="F403" s="5">
        <v>0.5006944444444444</v>
      </c>
      <c r="G403" s="1">
        <v>15498.0</v>
      </c>
      <c r="H403" s="1">
        <v>1019.0</v>
      </c>
      <c r="I403" s="1">
        <v>20.0</v>
      </c>
      <c r="J403" s="3" t="s">
        <v>2023</v>
      </c>
      <c r="K403" s="6">
        <f t="shared" si="1"/>
        <v>6.70409085</v>
      </c>
      <c r="L403" s="7">
        <f t="shared" si="2"/>
        <v>721</v>
      </c>
      <c r="M403" s="8">
        <f t="shared" si="3"/>
        <v>44886</v>
      </c>
      <c r="N403" s="9" t="str">
        <f>IFERROR(__xludf.DUMMYFUNCTION("IFS(
REGEXMATCH(LOWER(A403),""option|options""),""Options Strategy Education"",
REGEXMATCH(LOWER(A403),""bank nifty|nifty|index""),""Index Options"",
REGEXMATCH(LOWER(A403),""algo|api|systematic""),""Algo Trading / API Tutorial"",
REGEXMATCH(LOWER(A403),"&amp;"""groww|mtf|margin|pledge""),""Platform / Groww Feature Tutorial"",
REGEXMATCH(LOWER(A403),""candlestick|chart|price action|trendline|rsi|indicator""),""Technical Analysis / Chart Patterns"",
REGEXMATCH(LOWER(A403),""beginner|guide|start trading""),""Begi"&amp;"nner Trading Education"",
REGEXMATCH(LOWER(A403),""interview|journey|talks|wisdom""),""Expert Interview / Trading Insights"",
REGEXMATCH(LOWER(A403),""risk|loss|drawdown|psychology""),""Trading Psychology / Risk Management"",
REGEXMATCH(LOWER(A403),""comm"&amp;"odity|crude|gold|natural gas""),""Commodity Trading Education"",
TRUE,""General Trading Education""
)
"),"General Trading Education")</f>
        <v>General Trading Education</v>
      </c>
    </row>
    <row r="404" ht="15.75" customHeight="1">
      <c r="A404" s="1" t="s">
        <v>2024</v>
      </c>
      <c r="B404" s="3" t="s">
        <v>2025</v>
      </c>
      <c r="C404" s="1" t="s">
        <v>2026</v>
      </c>
      <c r="D404" s="1" t="s">
        <v>2027</v>
      </c>
      <c r="E404" s="4">
        <v>44889.0</v>
      </c>
      <c r="F404" s="5">
        <v>0.9083333333333333</v>
      </c>
      <c r="G404" s="1">
        <v>10133.0</v>
      </c>
      <c r="H404" s="1">
        <v>574.0</v>
      </c>
      <c r="I404" s="1">
        <v>20.0</v>
      </c>
      <c r="J404" s="3" t="s">
        <v>2028</v>
      </c>
      <c r="K404" s="6">
        <f t="shared" si="1"/>
        <v>5.862034935</v>
      </c>
      <c r="L404" s="7">
        <f t="shared" si="2"/>
        <v>1308</v>
      </c>
      <c r="M404" s="8">
        <f t="shared" si="3"/>
        <v>44886</v>
      </c>
      <c r="N404" s="9" t="str">
        <f>IFERROR(__xludf.DUMMYFUNCTION("IFS(
REGEXMATCH(LOWER(A404),""option|options""),""Options Strategy Education"",
REGEXMATCH(LOWER(A404),""bank nifty|nifty|index""),""Index Options"",
REGEXMATCH(LOWER(A404),""algo|api|systematic""),""Algo Trading / API Tutorial"",
REGEXMATCH(LOWER(A404),"&amp;"""groww|mtf|margin|pledge""),""Platform / Groww Feature Tutorial"",
REGEXMATCH(LOWER(A404),""candlestick|chart|price action|trendline|rsi|indicator""),""Technical Analysis / Chart Patterns"",
REGEXMATCH(LOWER(A404),""beginner|guide|start trading""),""Begi"&amp;"nner Trading Education"",
REGEXMATCH(LOWER(A404),""interview|journey|talks|wisdom""),""Expert Interview / Trading Insights"",
REGEXMATCH(LOWER(A404),""risk|loss|drawdown|psychology""),""Trading Psychology / Risk Management"",
REGEXMATCH(LOWER(A404),""comm"&amp;"odity|crude|gold|natural gas""),""Commodity Trading Education"",
TRUE,""General Trading Education""
)
"),"Technical Analysis / Chart Patterns")</f>
        <v>Technical Analysis / Chart Patterns</v>
      </c>
    </row>
    <row r="405" ht="15.75" customHeight="1">
      <c r="A405" s="1" t="s">
        <v>2029</v>
      </c>
      <c r="B405" s="3" t="s">
        <v>2030</v>
      </c>
      <c r="C405" s="1" t="s">
        <v>2031</v>
      </c>
      <c r="D405" s="1" t="s">
        <v>2032</v>
      </c>
      <c r="E405" s="4">
        <v>44888.0</v>
      </c>
      <c r="F405" s="5">
        <v>0.6131944444444445</v>
      </c>
      <c r="G405" s="1">
        <v>6300.0</v>
      </c>
      <c r="H405" s="1">
        <v>290.0</v>
      </c>
      <c r="I405" s="1">
        <v>11.0</v>
      </c>
      <c r="J405" s="3" t="s">
        <v>2033</v>
      </c>
      <c r="K405" s="6">
        <f t="shared" si="1"/>
        <v>4.777777778</v>
      </c>
      <c r="L405" s="7">
        <f t="shared" si="2"/>
        <v>883</v>
      </c>
      <c r="M405" s="8">
        <f t="shared" si="3"/>
        <v>44886</v>
      </c>
      <c r="N405" s="9" t="str">
        <f>IFERROR(__xludf.DUMMYFUNCTION("IFS(
REGEXMATCH(LOWER(A405),""option|options""),""Options Strategy Education"",
REGEXMATCH(LOWER(A405),""bank nifty|nifty|index""),""Index Options"",
REGEXMATCH(LOWER(A405),""algo|api|systematic""),""Algo Trading / API Tutorial"",
REGEXMATCH(LOWER(A405),"&amp;"""groww|mtf|margin|pledge""),""Platform / Groww Feature Tutorial"",
REGEXMATCH(LOWER(A405),""candlestick|chart|price action|trendline|rsi|indicator""),""Technical Analysis / Chart Patterns"",
REGEXMATCH(LOWER(A405),""beginner|guide|start trading""),""Begi"&amp;"nner Trading Education"",
REGEXMATCH(LOWER(A405),""interview|journey|talks|wisdom""),""Expert Interview / Trading Insights"",
REGEXMATCH(LOWER(A405),""risk|loss|drawdown|psychology""),""Trading Psychology / Risk Management"",
REGEXMATCH(LOWER(A405),""comm"&amp;"odity|crude|gold|natural gas""),""Commodity Trading Education"",
TRUE,""General Trading Education""
)
"),"General Trading Education")</f>
        <v>General Trading Education</v>
      </c>
    </row>
    <row r="406" ht="15.75" customHeight="1">
      <c r="A406" s="1" t="s">
        <v>2034</v>
      </c>
      <c r="B406" s="3" t="s">
        <v>2035</v>
      </c>
      <c r="C406" s="1" t="s">
        <v>2036</v>
      </c>
      <c r="D406" s="1" t="s">
        <v>2037</v>
      </c>
      <c r="E406" s="4">
        <v>44886.0</v>
      </c>
      <c r="F406" s="5">
        <v>0.5680555555555555</v>
      </c>
      <c r="G406" s="1">
        <v>55648.0</v>
      </c>
      <c r="H406" s="1">
        <v>2661.0</v>
      </c>
      <c r="I406" s="1">
        <v>45.0</v>
      </c>
      <c r="J406" s="3" t="s">
        <v>2038</v>
      </c>
      <c r="K406" s="6">
        <f t="shared" si="1"/>
        <v>4.862708453</v>
      </c>
      <c r="L406" s="7">
        <f t="shared" si="2"/>
        <v>818</v>
      </c>
      <c r="M406" s="8">
        <f t="shared" si="3"/>
        <v>44886</v>
      </c>
      <c r="N406" s="9" t="str">
        <f>IFERROR(__xludf.DUMMYFUNCTION("IFS(
REGEXMATCH(LOWER(A406),""option|options""),""Options Strategy Education"",
REGEXMATCH(LOWER(A406),""bank nifty|nifty|index""),""Index Options"",
REGEXMATCH(LOWER(A406),""algo|api|systematic""),""Algo Trading / API Tutorial"",
REGEXMATCH(LOWER(A406),"&amp;"""groww|mtf|margin|pledge""),""Platform / Groww Feature Tutorial"",
REGEXMATCH(LOWER(A406),""candlestick|chart|price action|trendline|rsi|indicator""),""Technical Analysis / Chart Patterns"",
REGEXMATCH(LOWER(A406),""beginner|guide|start trading""),""Begi"&amp;"nner Trading Education"",
REGEXMATCH(LOWER(A406),""interview|journey|talks|wisdom""),""Expert Interview / Trading Insights"",
REGEXMATCH(LOWER(A406),""risk|loss|drawdown|psychology""),""Trading Psychology / Risk Management"",
REGEXMATCH(LOWER(A406),""comm"&amp;"odity|crude|gold|natural gas""),""Commodity Trading Education"",
TRUE,""General Trading Education""
)
"),"General Trading Education")</f>
        <v>General Trading Education</v>
      </c>
    </row>
    <row r="407" ht="15.75" customHeight="1">
      <c r="A407" s="1" t="s">
        <v>2039</v>
      </c>
      <c r="B407" s="3" t="s">
        <v>2040</v>
      </c>
      <c r="C407" s="1" t="s">
        <v>2041</v>
      </c>
      <c r="D407" s="1" t="s">
        <v>2042</v>
      </c>
      <c r="E407" s="4">
        <v>44883.0</v>
      </c>
      <c r="F407" s="5">
        <v>0.7659722222222223</v>
      </c>
      <c r="G407" s="1">
        <v>15014.0</v>
      </c>
      <c r="H407" s="1">
        <v>842.0</v>
      </c>
      <c r="I407" s="1">
        <v>26.0</v>
      </c>
      <c r="J407" s="3" t="s">
        <v>2043</v>
      </c>
      <c r="K407" s="6">
        <f t="shared" si="1"/>
        <v>5.781270814</v>
      </c>
      <c r="L407" s="7">
        <f t="shared" si="2"/>
        <v>1103</v>
      </c>
      <c r="M407" s="8">
        <f t="shared" si="3"/>
        <v>44879</v>
      </c>
      <c r="N407" s="9" t="str">
        <f>IFERROR(__xludf.DUMMYFUNCTION("IFS(
REGEXMATCH(LOWER(A407),""option|options""),""Options Strategy Education"",
REGEXMATCH(LOWER(A407),""bank nifty|nifty|index""),""Index Options"",
REGEXMATCH(LOWER(A407),""algo|api|systematic""),""Algo Trading / API Tutorial"",
REGEXMATCH(LOWER(A407),"&amp;"""groww|mtf|margin|pledge""),""Platform / Groww Feature Tutorial"",
REGEXMATCH(LOWER(A407),""candlestick|chart|price action|trendline|rsi|indicator""),""Technical Analysis / Chart Patterns"",
REGEXMATCH(LOWER(A407),""beginner|guide|start trading""),""Begi"&amp;"nner Trading Education"",
REGEXMATCH(LOWER(A407),""interview|journey|talks|wisdom""),""Expert Interview / Trading Insights"",
REGEXMATCH(LOWER(A407),""risk|loss|drawdown|psychology""),""Trading Psychology / Risk Management"",
REGEXMATCH(LOWER(A407),""comm"&amp;"odity|crude|gold|natural gas""),""Commodity Trading Education"",
TRUE,""General Trading Education""
)
"),"Technical Analysis / Chart Patterns")</f>
        <v>Technical Analysis / Chart Patterns</v>
      </c>
    </row>
    <row r="408" ht="15.75" customHeight="1">
      <c r="A408" s="1" t="s">
        <v>1954</v>
      </c>
      <c r="B408" s="3" t="s">
        <v>2044</v>
      </c>
      <c r="C408" s="1" t="s">
        <v>2045</v>
      </c>
      <c r="D408" s="1" t="s">
        <v>2046</v>
      </c>
      <c r="E408" s="4">
        <v>44882.0</v>
      </c>
      <c r="F408" s="5">
        <v>0.49375</v>
      </c>
      <c r="G408" s="1">
        <v>4928.0</v>
      </c>
      <c r="H408" s="1">
        <v>408.0</v>
      </c>
      <c r="I408" s="1">
        <v>35.0</v>
      </c>
      <c r="J408" s="3" t="s">
        <v>2047</v>
      </c>
      <c r="K408" s="6">
        <f t="shared" si="1"/>
        <v>8.989448052</v>
      </c>
      <c r="L408" s="7">
        <f t="shared" si="2"/>
        <v>711</v>
      </c>
      <c r="M408" s="8">
        <f t="shared" si="3"/>
        <v>44879</v>
      </c>
      <c r="N408" s="9" t="str">
        <f>IFERROR(__xludf.DUMMYFUNCTION("IFS(
REGEXMATCH(LOWER(A408),""option|options""),""Options Strategy Education"",
REGEXMATCH(LOWER(A408),""bank nifty|nifty|index""),""Index Options"",
REGEXMATCH(LOWER(A408),""algo|api|systematic""),""Algo Trading / API Tutorial"",
REGEXMATCH(LOWER(A408),"&amp;"""groww|mtf|margin|pledge""),""Platform / Groww Feature Tutorial"",
REGEXMATCH(LOWER(A408),""candlestick|chart|price action|trendline|rsi|indicator""),""Technical Analysis / Chart Patterns"",
REGEXMATCH(LOWER(A408),""beginner|guide|start trading""),""Begi"&amp;"nner Trading Education"",
REGEXMATCH(LOWER(A408),""interview|journey|talks|wisdom""),""Expert Interview / Trading Insights"",
REGEXMATCH(LOWER(A408),""risk|loss|drawdown|psychology""),""Trading Psychology / Risk Management"",
REGEXMATCH(LOWER(A408),""comm"&amp;"odity|crude|gold|natural gas""),""Commodity Trading Education"",
TRUE,""General Trading Education""
)
"),"General Trading Education")</f>
        <v>General Trading Education</v>
      </c>
    </row>
    <row r="409" ht="15.75" customHeight="1">
      <c r="A409" s="1" t="s">
        <v>2048</v>
      </c>
      <c r="B409" s="3" t="s">
        <v>2049</v>
      </c>
      <c r="C409" s="1" t="s">
        <v>2050</v>
      </c>
      <c r="D409" s="1" t="s">
        <v>2051</v>
      </c>
      <c r="E409" s="4">
        <v>44880.0</v>
      </c>
      <c r="F409" s="5">
        <v>0.475</v>
      </c>
      <c r="G409" s="1">
        <v>103815.0</v>
      </c>
      <c r="H409" s="1">
        <v>4145.0</v>
      </c>
      <c r="I409" s="1">
        <v>27.0</v>
      </c>
      <c r="J409" s="3" t="s">
        <v>2052</v>
      </c>
      <c r="K409" s="6">
        <f t="shared" si="1"/>
        <v>4.018687088</v>
      </c>
      <c r="L409" s="7">
        <f t="shared" si="2"/>
        <v>684</v>
      </c>
      <c r="M409" s="8">
        <f t="shared" si="3"/>
        <v>44879</v>
      </c>
      <c r="N409" s="9" t="str">
        <f>IFERROR(__xludf.DUMMYFUNCTION("IFS(
REGEXMATCH(LOWER(A409),""option|options""),""Options Strategy Education"",
REGEXMATCH(LOWER(A409),""bank nifty|nifty|index""),""Index Options"",
REGEXMATCH(LOWER(A409),""algo|api|systematic""),""Algo Trading / API Tutorial"",
REGEXMATCH(LOWER(A409),"&amp;"""groww|mtf|margin|pledge""),""Platform / Groww Feature Tutorial"",
REGEXMATCH(LOWER(A409),""candlestick|chart|price action|trendline|rsi|indicator""),""Technical Analysis / Chart Patterns"",
REGEXMATCH(LOWER(A409),""beginner|guide|start trading""),""Begi"&amp;"nner Trading Education"",
REGEXMATCH(LOWER(A409),""interview|journey|talks|wisdom""),""Expert Interview / Trading Insights"",
REGEXMATCH(LOWER(A409),""risk|loss|drawdown|psychology""),""Trading Psychology / Risk Management"",
REGEXMATCH(LOWER(A409),""comm"&amp;"odity|crude|gold|natural gas""),""Commodity Trading Education"",
TRUE,""General Trading Education""
)
"),"Beginner Trading Education")</f>
        <v>Beginner Trading Education</v>
      </c>
    </row>
    <row r="410" ht="15.75" customHeight="1">
      <c r="A410" s="1" t="s">
        <v>2053</v>
      </c>
      <c r="B410" s="3" t="s">
        <v>2054</v>
      </c>
      <c r="C410" s="1" t="s">
        <v>2055</v>
      </c>
      <c r="D410" s="1" t="s">
        <v>2056</v>
      </c>
      <c r="E410" s="4">
        <v>44879.0</v>
      </c>
      <c r="F410" s="5">
        <v>0.6354166666666666</v>
      </c>
      <c r="G410" s="1">
        <v>9800.0</v>
      </c>
      <c r="H410" s="1">
        <v>533.0</v>
      </c>
      <c r="I410" s="1">
        <v>18.0</v>
      </c>
      <c r="J410" s="3" t="s">
        <v>2057</v>
      </c>
      <c r="K410" s="6">
        <f t="shared" si="1"/>
        <v>5.62244898</v>
      </c>
      <c r="L410" s="7">
        <f t="shared" si="2"/>
        <v>915</v>
      </c>
      <c r="M410" s="8">
        <f t="shared" si="3"/>
        <v>44879</v>
      </c>
      <c r="N410" s="9" t="str">
        <f>IFERROR(__xludf.DUMMYFUNCTION("IFS(
REGEXMATCH(LOWER(A410),""option|options""),""Options Strategy Education"",
REGEXMATCH(LOWER(A410),""bank nifty|nifty|index""),""Index Options"",
REGEXMATCH(LOWER(A410),""algo|api|systematic""),""Algo Trading / API Tutorial"",
REGEXMATCH(LOWER(A410),"&amp;"""groww|mtf|margin|pledge""),""Platform / Groww Feature Tutorial"",
REGEXMATCH(LOWER(A410),""candlestick|chart|price action|trendline|rsi|indicator""),""Technical Analysis / Chart Patterns"",
REGEXMATCH(LOWER(A410),""beginner|guide|start trading""),""Begi"&amp;"nner Trading Education"",
REGEXMATCH(LOWER(A410),""interview|journey|talks|wisdom""),""Expert Interview / Trading Insights"",
REGEXMATCH(LOWER(A410),""risk|loss|drawdown|psychology""),""Trading Psychology / Risk Management"",
REGEXMATCH(LOWER(A410),""comm"&amp;"odity|crude|gold|natural gas""),""Commodity Trading Education"",
TRUE,""General Trading Education""
)
"),"Beginner Trading Education")</f>
        <v>Beginner Trading Education</v>
      </c>
    </row>
    <row r="411" ht="15.75" customHeight="1">
      <c r="A411" s="1" t="s">
        <v>2058</v>
      </c>
      <c r="B411" s="3" t="s">
        <v>2059</v>
      </c>
      <c r="C411" s="1" t="s">
        <v>2060</v>
      </c>
      <c r="D411" s="1" t="s">
        <v>2061</v>
      </c>
      <c r="E411" s="4">
        <v>44877.0</v>
      </c>
      <c r="F411" s="12">
        <v>0.04466435185185185</v>
      </c>
      <c r="G411" s="1">
        <v>21721.0</v>
      </c>
      <c r="H411" s="1">
        <v>804.0</v>
      </c>
      <c r="I411" s="1">
        <v>40.0</v>
      </c>
      <c r="J411" s="3" t="s">
        <v>2062</v>
      </c>
      <c r="K411" s="6">
        <f t="shared" si="1"/>
        <v>3.885640624</v>
      </c>
      <c r="L411" s="7">
        <f t="shared" si="2"/>
        <v>64.31666667</v>
      </c>
      <c r="M411" s="8">
        <f t="shared" si="3"/>
        <v>44872</v>
      </c>
      <c r="N411" s="9" t="str">
        <f>IFERROR(__xludf.DUMMYFUNCTION("IFS(
REGEXMATCH(LOWER(A411),""option|options""),""Options Strategy Education"",
REGEXMATCH(LOWER(A411),""bank nifty|nifty|index""),""Index Options"",
REGEXMATCH(LOWER(A411),""algo|api|systematic""),""Algo Trading / API Tutorial"",
REGEXMATCH(LOWER(A411),"&amp;"""groww|mtf|margin|pledge""),""Platform / Groww Feature Tutorial"",
REGEXMATCH(LOWER(A411),""candlestick|chart|price action|trendline|rsi|indicator""),""Technical Analysis / Chart Patterns"",
REGEXMATCH(LOWER(A411),""beginner|guide|start trading""),""Begi"&amp;"nner Trading Education"",
REGEXMATCH(LOWER(A411),""interview|journey|talks|wisdom""),""Expert Interview / Trading Insights"",
REGEXMATCH(LOWER(A411),""risk|loss|drawdown|psychology""),""Trading Psychology / Risk Management"",
REGEXMATCH(LOWER(A411),""comm"&amp;"odity|crude|gold|natural gas""),""Commodity Trading Education"",
TRUE,""General Trading Education""
)
"),"Options Strategy Education")</f>
        <v>Options Strategy Education</v>
      </c>
    </row>
    <row r="412" ht="15.75" customHeight="1">
      <c r="A412" s="1" t="s">
        <v>2063</v>
      </c>
      <c r="B412" s="3" t="s">
        <v>2064</v>
      </c>
      <c r="C412" s="1" t="s">
        <v>2065</v>
      </c>
      <c r="D412" s="1" t="s">
        <v>2066</v>
      </c>
      <c r="E412" s="4">
        <v>44876.0</v>
      </c>
      <c r="F412" s="5">
        <v>0.4701388888888889</v>
      </c>
      <c r="G412" s="1">
        <v>19914.0</v>
      </c>
      <c r="H412" s="1">
        <v>660.0</v>
      </c>
      <c r="I412" s="1">
        <v>21.0</v>
      </c>
      <c r="J412" s="3" t="s">
        <v>2067</v>
      </c>
      <c r="K412" s="6">
        <f t="shared" si="1"/>
        <v>3.41970473</v>
      </c>
      <c r="L412" s="7">
        <f t="shared" si="2"/>
        <v>677</v>
      </c>
      <c r="M412" s="8">
        <f t="shared" si="3"/>
        <v>44872</v>
      </c>
      <c r="N412" s="9" t="str">
        <f>IFERROR(__xludf.DUMMYFUNCTION("IFS(
REGEXMATCH(LOWER(A412),""option|options""),""Options Strategy Education"",
REGEXMATCH(LOWER(A412),""bank nifty|nifty|index""),""Index Options"",
REGEXMATCH(LOWER(A412),""algo|api|systematic""),""Algo Trading / API Tutorial"",
REGEXMATCH(LOWER(A412),"&amp;"""groww|mtf|margin|pledge""),""Platform / Groww Feature Tutorial"",
REGEXMATCH(LOWER(A412),""candlestick|chart|price action|trendline|rsi|indicator""),""Technical Analysis / Chart Patterns"",
REGEXMATCH(LOWER(A412),""beginner|guide|start trading""),""Begi"&amp;"nner Trading Education"",
REGEXMATCH(LOWER(A412),""interview|journey|talks|wisdom""),""Expert Interview / Trading Insights"",
REGEXMATCH(LOWER(A412),""risk|loss|drawdown|psychology""),""Trading Psychology / Risk Management"",
REGEXMATCH(LOWER(A412),""comm"&amp;"odity|crude|gold|natural gas""),""Commodity Trading Education"",
TRUE,""General Trading Education""
)
"),"Index Options")</f>
        <v>Index Options</v>
      </c>
    </row>
    <row r="413" ht="15.75" customHeight="1">
      <c r="A413" s="1" t="s">
        <v>2068</v>
      </c>
      <c r="B413" s="3" t="s">
        <v>2069</v>
      </c>
      <c r="C413" s="1" t="s">
        <v>2070</v>
      </c>
      <c r="D413" s="1" t="s">
        <v>2071</v>
      </c>
      <c r="E413" s="4">
        <v>44874.0</v>
      </c>
      <c r="F413" s="5">
        <v>0.8465277777777778</v>
      </c>
      <c r="G413" s="1">
        <v>23894.0</v>
      </c>
      <c r="H413" s="1">
        <v>1003.0</v>
      </c>
      <c r="I413" s="1">
        <v>23.0</v>
      </c>
      <c r="J413" s="3" t="s">
        <v>2072</v>
      </c>
      <c r="K413" s="6">
        <f t="shared" si="1"/>
        <v>4.293965012</v>
      </c>
      <c r="L413" s="7">
        <f t="shared" si="2"/>
        <v>1219</v>
      </c>
      <c r="M413" s="8">
        <f t="shared" si="3"/>
        <v>44872</v>
      </c>
      <c r="N413" s="9" t="str">
        <f>IFERROR(__xludf.DUMMYFUNCTION("IFS(
REGEXMATCH(LOWER(A413),""option|options""),""Options Strategy Education"",
REGEXMATCH(LOWER(A413),""bank nifty|nifty|index""),""Index Options"",
REGEXMATCH(LOWER(A413),""algo|api|systematic""),""Algo Trading / API Tutorial"",
REGEXMATCH(LOWER(A413),"&amp;"""groww|mtf|margin|pledge""),""Platform / Groww Feature Tutorial"",
REGEXMATCH(LOWER(A413),""candlestick|chart|price action|trendline|rsi|indicator""),""Technical Analysis / Chart Patterns"",
REGEXMATCH(LOWER(A413),""beginner|guide|start trading""),""Begi"&amp;"nner Trading Education"",
REGEXMATCH(LOWER(A413),""interview|journey|talks|wisdom""),""Expert Interview / Trading Insights"",
REGEXMATCH(LOWER(A413),""risk|loss|drawdown|psychology""),""Trading Psychology / Risk Management"",
REGEXMATCH(LOWER(A413),""comm"&amp;"odity|crude|gold|natural gas""),""Commodity Trading Education"",
TRUE,""General Trading Education""
)
"),"Technical Analysis / Chart Patterns")</f>
        <v>Technical Analysis / Chart Patterns</v>
      </c>
    </row>
    <row r="414" ht="15.75" customHeight="1">
      <c r="A414" s="1" t="s">
        <v>2073</v>
      </c>
      <c r="B414" s="3" t="s">
        <v>2074</v>
      </c>
      <c r="C414" s="1" t="s">
        <v>2075</v>
      </c>
      <c r="D414" s="1" t="s">
        <v>2076</v>
      </c>
      <c r="E414" s="4">
        <v>44873.0</v>
      </c>
      <c r="F414" s="5">
        <v>0.48541666666666666</v>
      </c>
      <c r="G414" s="1">
        <v>20210.0</v>
      </c>
      <c r="H414" s="1">
        <v>957.0</v>
      </c>
      <c r="I414" s="1">
        <v>25.0</v>
      </c>
      <c r="J414" s="3" t="s">
        <v>2077</v>
      </c>
      <c r="K414" s="6">
        <f t="shared" si="1"/>
        <v>4.858980703</v>
      </c>
      <c r="L414" s="7">
        <f t="shared" si="2"/>
        <v>699</v>
      </c>
      <c r="M414" s="8">
        <f t="shared" si="3"/>
        <v>44872</v>
      </c>
      <c r="N414" s="9" t="str">
        <f>IFERROR(__xludf.DUMMYFUNCTION("IFS(
REGEXMATCH(LOWER(A414),""option|options""),""Options Strategy Education"",
REGEXMATCH(LOWER(A414),""bank nifty|nifty|index""),""Index Options"",
REGEXMATCH(LOWER(A414),""algo|api|systematic""),""Algo Trading / API Tutorial"",
REGEXMATCH(LOWER(A414),"&amp;"""groww|mtf|margin|pledge""),""Platform / Groww Feature Tutorial"",
REGEXMATCH(LOWER(A414),""candlestick|chart|price action|trendline|rsi|indicator""),""Technical Analysis / Chart Patterns"",
REGEXMATCH(LOWER(A414),""beginner|guide|start trading""),""Begi"&amp;"nner Trading Education"",
REGEXMATCH(LOWER(A414),""interview|journey|talks|wisdom""),""Expert Interview / Trading Insights"",
REGEXMATCH(LOWER(A414),""risk|loss|drawdown|psychology""),""Trading Psychology / Risk Management"",
REGEXMATCH(LOWER(A414),""comm"&amp;"odity|crude|gold|natural gas""),""Commodity Trading Education"",
TRUE,""General Trading Education""
)
"),"General Trading Education")</f>
        <v>General Trading Education</v>
      </c>
    </row>
    <row r="415" ht="15.75" customHeight="1">
      <c r="A415" s="1" t="s">
        <v>2078</v>
      </c>
      <c r="B415" s="3" t="s">
        <v>2079</v>
      </c>
      <c r="C415" s="1" t="s">
        <v>2080</v>
      </c>
      <c r="D415" s="1" t="s">
        <v>2081</v>
      </c>
      <c r="E415" s="4">
        <v>44872.0</v>
      </c>
      <c r="F415" s="5">
        <v>0.5145833333333333</v>
      </c>
      <c r="G415" s="1">
        <v>3793.0</v>
      </c>
      <c r="H415" s="1">
        <v>235.0</v>
      </c>
      <c r="I415" s="1">
        <v>8.0</v>
      </c>
      <c r="J415" s="3" t="s">
        <v>2082</v>
      </c>
      <c r="K415" s="6">
        <f t="shared" si="1"/>
        <v>6.40653836</v>
      </c>
      <c r="L415" s="7">
        <f t="shared" si="2"/>
        <v>741</v>
      </c>
      <c r="M415" s="8">
        <f t="shared" si="3"/>
        <v>44872</v>
      </c>
      <c r="N415" s="9" t="str">
        <f>IFERROR(__xludf.DUMMYFUNCTION("IFS(
REGEXMATCH(LOWER(A415),""option|options""),""Options Strategy Education"",
REGEXMATCH(LOWER(A415),""bank nifty|nifty|index""),""Index Options"",
REGEXMATCH(LOWER(A415),""algo|api|systematic""),""Algo Trading / API Tutorial"",
REGEXMATCH(LOWER(A415),"&amp;"""groww|mtf|margin|pledge""),""Platform / Groww Feature Tutorial"",
REGEXMATCH(LOWER(A415),""candlestick|chart|price action|trendline|rsi|indicator""),""Technical Analysis / Chart Patterns"",
REGEXMATCH(LOWER(A415),""beginner|guide|start trading""),""Begi"&amp;"nner Trading Education"",
REGEXMATCH(LOWER(A415),""interview|journey|talks|wisdom""),""Expert Interview / Trading Insights"",
REGEXMATCH(LOWER(A415),""risk|loss|drawdown|psychology""),""Trading Psychology / Risk Management"",
REGEXMATCH(LOWER(A415),""comm"&amp;"odity|crude|gold|natural gas""),""Commodity Trading Education"",
TRUE,""General Trading Education""
)
"),"Beginner Trading Education")</f>
        <v>Beginner Trading Education</v>
      </c>
    </row>
    <row r="416" ht="15.75" customHeight="1">
      <c r="A416" s="1" t="s">
        <v>2083</v>
      </c>
      <c r="B416" s="3" t="s">
        <v>2084</v>
      </c>
      <c r="C416" s="1" t="s">
        <v>2085</v>
      </c>
      <c r="D416" s="1" t="s">
        <v>2086</v>
      </c>
      <c r="E416" s="4">
        <v>44870.0</v>
      </c>
      <c r="F416" s="10">
        <v>1.5722222222222222</v>
      </c>
      <c r="G416" s="1">
        <v>9873.0</v>
      </c>
      <c r="H416" s="1">
        <v>291.0</v>
      </c>
      <c r="I416" s="1">
        <v>19.0</v>
      </c>
      <c r="J416" s="3" t="s">
        <v>2087</v>
      </c>
      <c r="K416" s="6">
        <f t="shared" si="1"/>
        <v>3.139876431</v>
      </c>
      <c r="L416" s="7">
        <f t="shared" si="2"/>
        <v>2264</v>
      </c>
      <c r="M416" s="8">
        <f t="shared" si="3"/>
        <v>44865</v>
      </c>
      <c r="N416" s="9" t="str">
        <f>IFERROR(__xludf.DUMMYFUNCTION("IFS(
REGEXMATCH(LOWER(A416),""option|options""),""Options Strategy Education"",
REGEXMATCH(LOWER(A416),""bank nifty|nifty|index""),""Index Options"",
REGEXMATCH(LOWER(A416),""algo|api|systematic""),""Algo Trading / API Tutorial"",
REGEXMATCH(LOWER(A416),"&amp;"""groww|mtf|margin|pledge""),""Platform / Groww Feature Tutorial"",
REGEXMATCH(LOWER(A416),""candlestick|chart|price action|trendline|rsi|indicator""),""Technical Analysis / Chart Patterns"",
REGEXMATCH(LOWER(A416),""beginner|guide|start trading""),""Begi"&amp;"nner Trading Education"",
REGEXMATCH(LOWER(A416),""interview|journey|talks|wisdom""),""Expert Interview / Trading Insights"",
REGEXMATCH(LOWER(A416),""risk|loss|drawdown|psychology""),""Trading Psychology / Risk Management"",
REGEXMATCH(LOWER(A416),""comm"&amp;"odity|crude|gold|natural gas""),""Commodity Trading Education"",
TRUE,""General Trading Education""
)
"),"General Trading Education")</f>
        <v>General Trading Education</v>
      </c>
    </row>
    <row r="417" ht="15.75" customHeight="1">
      <c r="A417" s="1" t="s">
        <v>2088</v>
      </c>
      <c r="B417" s="3" t="s">
        <v>2089</v>
      </c>
      <c r="C417" s="1" t="s">
        <v>2090</v>
      </c>
      <c r="D417" s="1" t="s">
        <v>2091</v>
      </c>
      <c r="E417" s="4">
        <v>44869.0</v>
      </c>
      <c r="F417" s="5">
        <v>0.6298611111111111</v>
      </c>
      <c r="G417" s="1">
        <v>10736.0</v>
      </c>
      <c r="H417" s="1">
        <v>518.0</v>
      </c>
      <c r="I417" s="1">
        <v>8.0</v>
      </c>
      <c r="J417" s="3" t="s">
        <v>2092</v>
      </c>
      <c r="K417" s="6">
        <f t="shared" si="1"/>
        <v>4.899403875</v>
      </c>
      <c r="L417" s="7">
        <f t="shared" si="2"/>
        <v>907</v>
      </c>
      <c r="M417" s="8">
        <f t="shared" si="3"/>
        <v>44865</v>
      </c>
      <c r="N417" s="9" t="str">
        <f>IFERROR(__xludf.DUMMYFUNCTION("IFS(
REGEXMATCH(LOWER(A417),""option|options""),""Options Strategy Education"",
REGEXMATCH(LOWER(A417),""bank nifty|nifty|index""),""Index Options"",
REGEXMATCH(LOWER(A417),""algo|api|systematic""),""Algo Trading / API Tutorial"",
REGEXMATCH(LOWER(A417),"&amp;"""groww|mtf|margin|pledge""),""Platform / Groww Feature Tutorial"",
REGEXMATCH(LOWER(A417),""candlestick|chart|price action|trendline|rsi|indicator""),""Technical Analysis / Chart Patterns"",
REGEXMATCH(LOWER(A417),""beginner|guide|start trading""),""Begi"&amp;"nner Trading Education"",
REGEXMATCH(LOWER(A417),""interview|journey|talks|wisdom""),""Expert Interview / Trading Insights"",
REGEXMATCH(LOWER(A417),""risk|loss|drawdown|psychology""),""Trading Psychology / Risk Management"",
REGEXMATCH(LOWER(A417),""comm"&amp;"odity|crude|gold|natural gas""),""Commodity Trading Education"",
TRUE,""General Trading Education""
)
"),"General Trading Education")</f>
        <v>General Trading Education</v>
      </c>
    </row>
    <row r="418" ht="15.75" customHeight="1">
      <c r="A418" s="1" t="s">
        <v>2093</v>
      </c>
      <c r="B418" s="3" t="s">
        <v>2094</v>
      </c>
      <c r="C418" s="1" t="s">
        <v>2095</v>
      </c>
      <c r="D418" s="1" t="s">
        <v>2096</v>
      </c>
      <c r="E418" s="4">
        <v>44868.0</v>
      </c>
      <c r="F418" s="5">
        <v>0.3798611111111111</v>
      </c>
      <c r="G418" s="1">
        <v>3426.0</v>
      </c>
      <c r="H418" s="1">
        <v>300.0</v>
      </c>
      <c r="I418" s="1">
        <v>16.0</v>
      </c>
      <c r="J418" s="3" t="s">
        <v>2097</v>
      </c>
      <c r="K418" s="6">
        <f t="shared" si="1"/>
        <v>9.223584355</v>
      </c>
      <c r="L418" s="7">
        <f t="shared" si="2"/>
        <v>547</v>
      </c>
      <c r="M418" s="8">
        <f t="shared" si="3"/>
        <v>44865</v>
      </c>
      <c r="N418" s="9" t="str">
        <f>IFERROR(__xludf.DUMMYFUNCTION("IFS(
REGEXMATCH(LOWER(A418),""option|options""),""Options Strategy Education"",
REGEXMATCH(LOWER(A418),""bank nifty|nifty|index""),""Index Options"",
REGEXMATCH(LOWER(A418),""algo|api|systematic""),""Algo Trading / API Tutorial"",
REGEXMATCH(LOWER(A418),"&amp;"""groww|mtf|margin|pledge""),""Platform / Groww Feature Tutorial"",
REGEXMATCH(LOWER(A418),""candlestick|chart|price action|trendline|rsi|indicator""),""Technical Analysis / Chart Patterns"",
REGEXMATCH(LOWER(A418),""beginner|guide|start trading""),""Begi"&amp;"nner Trading Education"",
REGEXMATCH(LOWER(A418),""interview|journey|talks|wisdom""),""Expert Interview / Trading Insights"",
REGEXMATCH(LOWER(A418),""risk|loss|drawdown|psychology""),""Trading Psychology / Risk Management"",
REGEXMATCH(LOWER(A418),""comm"&amp;"odity|crude|gold|natural gas""),""Commodity Trading Education"",
TRUE,""General Trading Education""
)
"),"Index Options")</f>
        <v>Index Options</v>
      </c>
    </row>
    <row r="419" ht="15.75" customHeight="1">
      <c r="A419" s="1" t="s">
        <v>2098</v>
      </c>
      <c r="B419" s="3" t="s">
        <v>2099</v>
      </c>
      <c r="C419" s="1" t="s">
        <v>2100</v>
      </c>
      <c r="D419" s="1" t="s">
        <v>2101</v>
      </c>
      <c r="E419" s="4">
        <v>44867.0</v>
      </c>
      <c r="F419" s="5">
        <v>0.4756944444444444</v>
      </c>
      <c r="G419" s="1">
        <v>3392.0</v>
      </c>
      <c r="H419" s="1">
        <v>267.0</v>
      </c>
      <c r="I419" s="1">
        <v>10.0</v>
      </c>
      <c r="J419" s="3" t="s">
        <v>2102</v>
      </c>
      <c r="K419" s="6">
        <f t="shared" si="1"/>
        <v>8.166273585</v>
      </c>
      <c r="L419" s="7">
        <f t="shared" si="2"/>
        <v>685</v>
      </c>
      <c r="M419" s="8">
        <f t="shared" si="3"/>
        <v>44865</v>
      </c>
      <c r="N419" s="9" t="str">
        <f>IFERROR(__xludf.DUMMYFUNCTION("IFS(
REGEXMATCH(LOWER(A419),""option|options""),""Options Strategy Education"",
REGEXMATCH(LOWER(A419),""bank nifty|nifty|index""),""Index Options"",
REGEXMATCH(LOWER(A419),""algo|api|systematic""),""Algo Trading / API Tutorial"",
REGEXMATCH(LOWER(A419),"&amp;"""groww|mtf|margin|pledge""),""Platform / Groww Feature Tutorial"",
REGEXMATCH(LOWER(A419),""candlestick|chart|price action|trendline|rsi|indicator""),""Technical Analysis / Chart Patterns"",
REGEXMATCH(LOWER(A419),""beginner|guide|start trading""),""Begi"&amp;"nner Trading Education"",
REGEXMATCH(LOWER(A419),""interview|journey|talks|wisdom""),""Expert Interview / Trading Insights"",
REGEXMATCH(LOWER(A419),""risk|loss|drawdown|psychology""),""Trading Psychology / Risk Management"",
REGEXMATCH(LOWER(A419),""comm"&amp;"odity|crude|gold|natural gas""),""Commodity Trading Education"",
TRUE,""General Trading Education""
)
"),"Beginner Trading Education")</f>
        <v>Beginner Trading Education</v>
      </c>
    </row>
    <row r="420" ht="15.75" customHeight="1">
      <c r="A420" s="1" t="s">
        <v>2103</v>
      </c>
      <c r="B420" s="3" t="s">
        <v>2104</v>
      </c>
      <c r="C420" s="1" t="s">
        <v>2105</v>
      </c>
      <c r="D420" s="1" t="s">
        <v>2106</v>
      </c>
      <c r="E420" s="4">
        <v>44866.0</v>
      </c>
      <c r="F420" s="5">
        <v>0.8875</v>
      </c>
      <c r="G420" s="1">
        <v>34700.0</v>
      </c>
      <c r="H420" s="1">
        <v>1694.0</v>
      </c>
      <c r="I420" s="1">
        <v>39.0</v>
      </c>
      <c r="J420" s="3" t="s">
        <v>2107</v>
      </c>
      <c r="K420" s="6">
        <f t="shared" si="1"/>
        <v>4.994236311</v>
      </c>
      <c r="L420" s="7">
        <f t="shared" si="2"/>
        <v>1278</v>
      </c>
      <c r="M420" s="8">
        <f t="shared" si="3"/>
        <v>44865</v>
      </c>
      <c r="N420" s="9" t="str">
        <f>IFERROR(__xludf.DUMMYFUNCTION("IFS(
REGEXMATCH(LOWER(A420),""option|options""),""Options Strategy Education"",
REGEXMATCH(LOWER(A420),""bank nifty|nifty|index""),""Index Options"",
REGEXMATCH(LOWER(A420),""algo|api|systematic""),""Algo Trading / API Tutorial"",
REGEXMATCH(LOWER(A420),"&amp;"""groww|mtf|margin|pledge""),""Platform / Groww Feature Tutorial"",
REGEXMATCH(LOWER(A420),""candlestick|chart|price action|trendline|rsi|indicator""),""Technical Analysis / Chart Patterns"",
REGEXMATCH(LOWER(A420),""beginner|guide|start trading""),""Begi"&amp;"nner Trading Education"",
REGEXMATCH(LOWER(A420),""interview|journey|talks|wisdom""),""Expert Interview / Trading Insights"",
REGEXMATCH(LOWER(A420),""risk|loss|drawdown|psychology""),""Trading Psychology / Risk Management"",
REGEXMATCH(LOWER(A420),""comm"&amp;"odity|crude|gold|natural gas""),""Commodity Trading Education"",
TRUE,""General Trading Education""
)
"),"Options Strategy Education")</f>
        <v>Options Strategy Education</v>
      </c>
    </row>
    <row r="421" ht="15.75" customHeight="1">
      <c r="A421" s="1" t="s">
        <v>2108</v>
      </c>
      <c r="B421" s="3" t="s">
        <v>2109</v>
      </c>
      <c r="C421" s="1" t="s">
        <v>2110</v>
      </c>
      <c r="D421" s="1" t="s">
        <v>2111</v>
      </c>
      <c r="E421" s="4">
        <v>44865.0</v>
      </c>
      <c r="F421" s="5">
        <v>0.7243055555555555</v>
      </c>
      <c r="G421" s="1">
        <v>5036.0</v>
      </c>
      <c r="H421" s="1">
        <v>353.0</v>
      </c>
      <c r="I421" s="1">
        <v>26.0</v>
      </c>
      <c r="J421" s="3" t="s">
        <v>2112</v>
      </c>
      <c r="K421" s="6">
        <f t="shared" si="1"/>
        <v>7.525814138</v>
      </c>
      <c r="L421" s="7">
        <f t="shared" si="2"/>
        <v>1043</v>
      </c>
      <c r="M421" s="8">
        <f t="shared" si="3"/>
        <v>44865</v>
      </c>
      <c r="N421" s="9" t="str">
        <f>IFERROR(__xludf.DUMMYFUNCTION("IFS(
REGEXMATCH(LOWER(A421),""option|options""),""Options Strategy Education"",
REGEXMATCH(LOWER(A421),""bank nifty|nifty|index""),""Index Options"",
REGEXMATCH(LOWER(A421),""algo|api|systematic""),""Algo Trading / API Tutorial"",
REGEXMATCH(LOWER(A421),"&amp;"""groww|mtf|margin|pledge""),""Platform / Groww Feature Tutorial"",
REGEXMATCH(LOWER(A421),""candlestick|chart|price action|trendline|rsi|indicator""),""Technical Analysis / Chart Patterns"",
REGEXMATCH(LOWER(A421),""beginner|guide|start trading""),""Begi"&amp;"nner Trading Education"",
REGEXMATCH(LOWER(A421),""interview|journey|talks|wisdom""),""Expert Interview / Trading Insights"",
REGEXMATCH(LOWER(A421),""risk|loss|drawdown|psychology""),""Trading Psychology / Risk Management"",
REGEXMATCH(LOWER(A421),""comm"&amp;"odity|crude|gold|natural gas""),""Commodity Trading Education"",
TRUE,""General Trading Education""
)
"),"General Trading Education")</f>
        <v>General Trading Education</v>
      </c>
    </row>
    <row r="422" ht="15.75" customHeight="1">
      <c r="A422" s="1" t="s">
        <v>2113</v>
      </c>
      <c r="B422" s="3" t="s">
        <v>2114</v>
      </c>
      <c r="C422" s="1" t="s">
        <v>2115</v>
      </c>
      <c r="D422" s="1" t="s">
        <v>2116</v>
      </c>
      <c r="E422" s="4">
        <v>44862.0</v>
      </c>
      <c r="F422" s="5">
        <v>0.6520833333333333</v>
      </c>
      <c r="G422" s="1">
        <v>9320.0</v>
      </c>
      <c r="H422" s="1">
        <v>630.0</v>
      </c>
      <c r="I422" s="1">
        <v>22.0</v>
      </c>
      <c r="J422" s="3" t="s">
        <v>2117</v>
      </c>
      <c r="K422" s="6">
        <f t="shared" si="1"/>
        <v>6.995708155</v>
      </c>
      <c r="L422" s="7">
        <f t="shared" si="2"/>
        <v>939</v>
      </c>
      <c r="M422" s="8">
        <f t="shared" si="3"/>
        <v>44858</v>
      </c>
      <c r="N422" s="9" t="str">
        <f>IFERROR(__xludf.DUMMYFUNCTION("IFS(
REGEXMATCH(LOWER(A422),""option|options""),""Options Strategy Education"",
REGEXMATCH(LOWER(A422),""bank nifty|nifty|index""),""Index Options"",
REGEXMATCH(LOWER(A422),""algo|api|systematic""),""Algo Trading / API Tutorial"",
REGEXMATCH(LOWER(A422),"&amp;"""groww|mtf|margin|pledge""),""Platform / Groww Feature Tutorial"",
REGEXMATCH(LOWER(A422),""candlestick|chart|price action|trendline|rsi|indicator""),""Technical Analysis / Chart Patterns"",
REGEXMATCH(LOWER(A422),""beginner|guide|start trading""),""Begi"&amp;"nner Trading Education"",
REGEXMATCH(LOWER(A422),""interview|journey|talks|wisdom""),""Expert Interview / Trading Insights"",
REGEXMATCH(LOWER(A422),""risk|loss|drawdown|psychology""),""Trading Psychology / Risk Management"",
REGEXMATCH(LOWER(A422),""comm"&amp;"odity|crude|gold|natural gas""),""Commodity Trading Education"",
TRUE,""General Trading Education""
)
"),"Beginner Trading Education")</f>
        <v>Beginner Trading Education</v>
      </c>
    </row>
    <row r="423" ht="15.75" customHeight="1">
      <c r="A423" s="1" t="s">
        <v>2118</v>
      </c>
      <c r="B423" s="3" t="s">
        <v>2119</v>
      </c>
      <c r="C423" s="1" t="s">
        <v>2120</v>
      </c>
      <c r="D423" s="1" t="s">
        <v>2121</v>
      </c>
      <c r="E423" s="4">
        <v>44861.0</v>
      </c>
      <c r="F423" s="5">
        <v>0.5083333333333333</v>
      </c>
      <c r="G423" s="1">
        <v>9969.0</v>
      </c>
      <c r="H423" s="1">
        <v>305.0</v>
      </c>
      <c r="I423" s="1">
        <v>7.0</v>
      </c>
      <c r="J423" s="3" t="s">
        <v>2122</v>
      </c>
      <c r="K423" s="6">
        <f t="shared" si="1"/>
        <v>3.129702076</v>
      </c>
      <c r="L423" s="7">
        <f t="shared" si="2"/>
        <v>732</v>
      </c>
      <c r="M423" s="8">
        <f t="shared" si="3"/>
        <v>44858</v>
      </c>
      <c r="N423" s="9" t="str">
        <f>IFERROR(__xludf.DUMMYFUNCTION("IFS(
REGEXMATCH(LOWER(A423),""option|options""),""Options Strategy Education"",
REGEXMATCH(LOWER(A423),""bank nifty|nifty|index""),""Index Options"",
REGEXMATCH(LOWER(A423),""algo|api|systematic""),""Algo Trading / API Tutorial"",
REGEXMATCH(LOWER(A423),"&amp;"""groww|mtf|margin|pledge""),""Platform / Groww Feature Tutorial"",
REGEXMATCH(LOWER(A423),""candlestick|chart|price action|trendline|rsi|indicator""),""Technical Analysis / Chart Patterns"",
REGEXMATCH(LOWER(A423),""beginner|guide|start trading""),""Begi"&amp;"nner Trading Education"",
REGEXMATCH(LOWER(A423),""interview|journey|talks|wisdom""),""Expert Interview / Trading Insights"",
REGEXMATCH(LOWER(A423),""risk|loss|drawdown|psychology""),""Trading Psychology / Risk Management"",
REGEXMATCH(LOWER(A423),""comm"&amp;"odity|crude|gold|natural gas""),""Commodity Trading Education"",
TRUE,""General Trading Education""
)
"),"General Trading Education")</f>
        <v>General Trading Education</v>
      </c>
    </row>
    <row r="424" ht="15.75" customHeight="1">
      <c r="A424" s="1" t="s">
        <v>2123</v>
      </c>
      <c r="B424" s="3" t="s">
        <v>2124</v>
      </c>
      <c r="C424" s="1" t="s">
        <v>2125</v>
      </c>
      <c r="D424" s="1" t="s">
        <v>2126</v>
      </c>
      <c r="E424" s="4">
        <v>44859.0</v>
      </c>
      <c r="F424" s="5">
        <v>0.5375</v>
      </c>
      <c r="G424" s="1">
        <v>21089.0</v>
      </c>
      <c r="H424" s="1">
        <v>898.0</v>
      </c>
      <c r="I424" s="1">
        <v>20.0</v>
      </c>
      <c r="J424" s="3" t="s">
        <v>2127</v>
      </c>
      <c r="K424" s="6">
        <f t="shared" si="1"/>
        <v>4.352980227</v>
      </c>
      <c r="L424" s="7">
        <f t="shared" si="2"/>
        <v>774</v>
      </c>
      <c r="M424" s="8">
        <f t="shared" si="3"/>
        <v>44858</v>
      </c>
      <c r="N424" s="9" t="str">
        <f>IFERROR(__xludf.DUMMYFUNCTION("IFS(
REGEXMATCH(LOWER(A424),""option|options""),""Options Strategy Education"",
REGEXMATCH(LOWER(A424),""bank nifty|nifty|index""),""Index Options"",
REGEXMATCH(LOWER(A424),""algo|api|systematic""),""Algo Trading / API Tutorial"",
REGEXMATCH(LOWER(A424),"&amp;"""groww|mtf|margin|pledge""),""Platform / Groww Feature Tutorial"",
REGEXMATCH(LOWER(A424),""candlestick|chart|price action|trendline|rsi|indicator""),""Technical Analysis / Chart Patterns"",
REGEXMATCH(LOWER(A424),""beginner|guide|start trading""),""Begi"&amp;"nner Trading Education"",
REGEXMATCH(LOWER(A424),""interview|journey|talks|wisdom""),""Expert Interview / Trading Insights"",
REGEXMATCH(LOWER(A424),""risk|loss|drawdown|psychology""),""Trading Psychology / Risk Management"",
REGEXMATCH(LOWER(A424),""comm"&amp;"odity|crude|gold|natural gas""),""Commodity Trading Education"",
TRUE,""General Trading Education""
)
"),"Technical Analysis / Chart Patterns")</f>
        <v>Technical Analysis / Chart Patterns</v>
      </c>
    </row>
    <row r="425" ht="15.75" customHeight="1">
      <c r="A425" s="1" t="s">
        <v>2128</v>
      </c>
      <c r="B425" s="3" t="s">
        <v>2129</v>
      </c>
      <c r="C425" s="1" t="s">
        <v>2130</v>
      </c>
      <c r="D425" s="1" t="s">
        <v>2131</v>
      </c>
      <c r="E425" s="4">
        <v>44858.0</v>
      </c>
      <c r="F425" s="5">
        <v>0.8916666666666667</v>
      </c>
      <c r="G425" s="1">
        <v>17451.0</v>
      </c>
      <c r="H425" s="1">
        <v>634.0</v>
      </c>
      <c r="I425" s="1">
        <v>17.0</v>
      </c>
      <c r="J425" s="3" t="s">
        <v>2132</v>
      </c>
      <c r="K425" s="6">
        <f t="shared" si="1"/>
        <v>3.730445247</v>
      </c>
      <c r="L425" s="7">
        <f t="shared" si="2"/>
        <v>1284</v>
      </c>
      <c r="M425" s="8">
        <f t="shared" si="3"/>
        <v>44858</v>
      </c>
      <c r="N425" s="9" t="str">
        <f>IFERROR(__xludf.DUMMYFUNCTION("IFS(
REGEXMATCH(LOWER(A425),""option|options""),""Options Strategy Education"",
REGEXMATCH(LOWER(A425),""bank nifty|nifty|index""),""Index Options"",
REGEXMATCH(LOWER(A425),""algo|api|systematic""),""Algo Trading / API Tutorial"",
REGEXMATCH(LOWER(A425),"&amp;"""groww|mtf|margin|pledge""),""Platform / Groww Feature Tutorial"",
REGEXMATCH(LOWER(A425),""candlestick|chart|price action|trendline|rsi|indicator""),""Technical Analysis / Chart Patterns"",
REGEXMATCH(LOWER(A425),""beginner|guide|start trading""),""Begi"&amp;"nner Trading Education"",
REGEXMATCH(LOWER(A425),""interview|journey|talks|wisdom""),""Expert Interview / Trading Insights"",
REGEXMATCH(LOWER(A425),""risk|loss|drawdown|psychology""),""Trading Psychology / Risk Management"",
REGEXMATCH(LOWER(A425),""comm"&amp;"odity|crude|gold|natural gas""),""Commodity Trading Education"",
TRUE,""General Trading Education""
)
"),"Trading Psychology / Risk Management")</f>
        <v>Trading Psychology / Risk Management</v>
      </c>
    </row>
    <row r="426" ht="15.75" customHeight="1">
      <c r="A426" s="1" t="s">
        <v>2133</v>
      </c>
      <c r="B426" s="3" t="s">
        <v>2134</v>
      </c>
      <c r="C426" s="1" t="s">
        <v>2135</v>
      </c>
      <c r="D426" s="1" t="s">
        <v>2136</v>
      </c>
      <c r="E426" s="4">
        <v>44856.0</v>
      </c>
      <c r="F426" s="12">
        <v>0.04421296296296296</v>
      </c>
      <c r="G426" s="1">
        <v>11461.0</v>
      </c>
      <c r="H426" s="1">
        <v>368.0</v>
      </c>
      <c r="I426" s="1">
        <v>12.0</v>
      </c>
      <c r="J426" s="3" t="s">
        <v>2137</v>
      </c>
      <c r="K426" s="6">
        <f t="shared" si="1"/>
        <v>3.315592008</v>
      </c>
      <c r="L426" s="7">
        <f t="shared" si="2"/>
        <v>63.66666667</v>
      </c>
      <c r="M426" s="8">
        <f t="shared" si="3"/>
        <v>44851</v>
      </c>
      <c r="N426" s="9" t="str">
        <f>IFERROR(__xludf.DUMMYFUNCTION("IFS(
REGEXMATCH(LOWER(A426),""option|options""),""Options Strategy Education"",
REGEXMATCH(LOWER(A426),""bank nifty|nifty|index""),""Index Options"",
REGEXMATCH(LOWER(A426),""algo|api|systematic""),""Algo Trading / API Tutorial"",
REGEXMATCH(LOWER(A426),"&amp;"""groww|mtf|margin|pledge""),""Platform / Groww Feature Tutorial"",
REGEXMATCH(LOWER(A426),""candlestick|chart|price action|trendline|rsi|indicator""),""Technical Analysis / Chart Patterns"",
REGEXMATCH(LOWER(A426),""beginner|guide|start trading""),""Begi"&amp;"nner Trading Education"",
REGEXMATCH(LOWER(A426),""interview|journey|talks|wisdom""),""Expert Interview / Trading Insights"",
REGEXMATCH(LOWER(A426),""risk|loss|drawdown|psychology""),""Trading Psychology / Risk Management"",
REGEXMATCH(LOWER(A426),""comm"&amp;"odity|crude|gold|natural gas""),""Commodity Trading Education"",
TRUE,""General Trading Education""
)
"),"Options Strategy Education")</f>
        <v>Options Strategy Education</v>
      </c>
    </row>
    <row r="427" ht="15.75" customHeight="1">
      <c r="A427" s="1" t="s">
        <v>2138</v>
      </c>
      <c r="B427" s="3" t="s">
        <v>2139</v>
      </c>
      <c r="C427" s="1" t="s">
        <v>2140</v>
      </c>
      <c r="D427" s="1" t="s">
        <v>2141</v>
      </c>
      <c r="E427" s="4">
        <v>44855.0</v>
      </c>
      <c r="F427" s="5">
        <v>0.5680555555555555</v>
      </c>
      <c r="G427" s="1">
        <v>4346.0</v>
      </c>
      <c r="H427" s="1">
        <v>238.0</v>
      </c>
      <c r="I427" s="1">
        <v>7.0</v>
      </c>
      <c r="J427" s="3" t="s">
        <v>2142</v>
      </c>
      <c r="K427" s="6">
        <f t="shared" si="1"/>
        <v>5.637367694</v>
      </c>
      <c r="L427" s="7">
        <f t="shared" si="2"/>
        <v>818</v>
      </c>
      <c r="M427" s="8">
        <f t="shared" si="3"/>
        <v>44851</v>
      </c>
      <c r="N427" s="9" t="str">
        <f>IFERROR(__xludf.DUMMYFUNCTION("IFS(
REGEXMATCH(LOWER(A427),""option|options""),""Options Strategy Education"",
REGEXMATCH(LOWER(A427),""bank nifty|nifty|index""),""Index Options"",
REGEXMATCH(LOWER(A427),""algo|api|systematic""),""Algo Trading / API Tutorial"",
REGEXMATCH(LOWER(A427),"&amp;"""groww|mtf|margin|pledge""),""Platform / Groww Feature Tutorial"",
REGEXMATCH(LOWER(A427),""candlestick|chart|price action|trendline|rsi|indicator""),""Technical Analysis / Chart Patterns"",
REGEXMATCH(LOWER(A427),""beginner|guide|start trading""),""Begi"&amp;"nner Trading Education"",
REGEXMATCH(LOWER(A427),""interview|journey|talks|wisdom""),""Expert Interview / Trading Insights"",
REGEXMATCH(LOWER(A427),""risk|loss|drawdown|psychology""),""Trading Psychology / Risk Management"",
REGEXMATCH(LOWER(A427),""comm"&amp;"odity|crude|gold|natural gas""),""Commodity Trading Education"",
TRUE,""General Trading Education""
)
"),"General Trading Education")</f>
        <v>General Trading Education</v>
      </c>
    </row>
    <row r="428" ht="15.75" customHeight="1">
      <c r="A428" s="1" t="s">
        <v>2143</v>
      </c>
      <c r="B428" s="3" t="s">
        <v>2144</v>
      </c>
      <c r="C428" s="1" t="s">
        <v>2145</v>
      </c>
      <c r="D428" s="1" t="s">
        <v>2146</v>
      </c>
      <c r="E428" s="4">
        <v>44853.0</v>
      </c>
      <c r="F428" s="5">
        <v>0.7215277777777778</v>
      </c>
      <c r="G428" s="1">
        <v>7483.0</v>
      </c>
      <c r="H428" s="1">
        <v>547.0</v>
      </c>
      <c r="I428" s="1">
        <v>13.0</v>
      </c>
      <c r="J428" s="3" t="s">
        <v>2147</v>
      </c>
      <c r="K428" s="6">
        <f t="shared" si="1"/>
        <v>7.48362956</v>
      </c>
      <c r="L428" s="7">
        <f t="shared" si="2"/>
        <v>1039</v>
      </c>
      <c r="M428" s="8">
        <f t="shared" si="3"/>
        <v>44851</v>
      </c>
      <c r="N428" s="9" t="str">
        <f>IFERROR(__xludf.DUMMYFUNCTION("IFS(
REGEXMATCH(LOWER(A428),""option|options""),""Options Strategy Education"",
REGEXMATCH(LOWER(A428),""bank nifty|nifty|index""),""Index Options"",
REGEXMATCH(LOWER(A428),""algo|api|systematic""),""Algo Trading / API Tutorial"",
REGEXMATCH(LOWER(A428),"&amp;"""groww|mtf|margin|pledge""),""Platform / Groww Feature Tutorial"",
REGEXMATCH(LOWER(A428),""candlestick|chart|price action|trendline|rsi|indicator""),""Technical Analysis / Chart Patterns"",
REGEXMATCH(LOWER(A428),""beginner|guide|start trading""),""Begi"&amp;"nner Trading Education"",
REGEXMATCH(LOWER(A428),""interview|journey|talks|wisdom""),""Expert Interview / Trading Insights"",
REGEXMATCH(LOWER(A428),""risk|loss|drawdown|psychology""),""Trading Psychology / Risk Management"",
REGEXMATCH(LOWER(A428),""comm"&amp;"odity|crude|gold|natural gas""),""Commodity Trading Education"",
TRUE,""General Trading Education""
)
"),"General Trading Education")</f>
        <v>General Trading Education</v>
      </c>
    </row>
    <row r="429" ht="15.75" customHeight="1">
      <c r="A429" s="1" t="s">
        <v>2148</v>
      </c>
      <c r="B429" s="3" t="s">
        <v>2149</v>
      </c>
      <c r="C429" s="1" t="s">
        <v>2150</v>
      </c>
      <c r="D429" s="1" t="s">
        <v>2151</v>
      </c>
      <c r="E429" s="4">
        <v>44852.0</v>
      </c>
      <c r="F429" s="5">
        <v>0.5138888888888888</v>
      </c>
      <c r="G429" s="1">
        <v>128573.0</v>
      </c>
      <c r="H429" s="1">
        <v>3015.0</v>
      </c>
      <c r="I429" s="1">
        <v>31.0</v>
      </c>
      <c r="J429" s="3" t="s">
        <v>2152</v>
      </c>
      <c r="K429" s="6">
        <f t="shared" si="1"/>
        <v>2.369082156</v>
      </c>
      <c r="L429" s="7">
        <f t="shared" si="2"/>
        <v>740</v>
      </c>
      <c r="M429" s="8">
        <f t="shared" si="3"/>
        <v>44851</v>
      </c>
      <c r="N429" s="9" t="str">
        <f>IFERROR(__xludf.DUMMYFUNCTION("IFS(
REGEXMATCH(LOWER(A429),""option|options""),""Options Strategy Education"",
REGEXMATCH(LOWER(A429),""bank nifty|nifty|index""),""Index Options"",
REGEXMATCH(LOWER(A429),""algo|api|systematic""),""Algo Trading / API Tutorial"",
REGEXMATCH(LOWER(A429),"&amp;"""groww|mtf|margin|pledge""),""Platform / Groww Feature Tutorial"",
REGEXMATCH(LOWER(A429),""candlestick|chart|price action|trendline|rsi|indicator""),""Technical Analysis / Chart Patterns"",
REGEXMATCH(LOWER(A429),""beginner|guide|start trading""),""Begi"&amp;"nner Trading Education"",
REGEXMATCH(LOWER(A429),""interview|journey|talks|wisdom""),""Expert Interview / Trading Insights"",
REGEXMATCH(LOWER(A429),""risk|loss|drawdown|psychology""),""Trading Psychology / Risk Management"",
REGEXMATCH(LOWER(A429),""comm"&amp;"odity|crude|gold|natural gas""),""Commodity Trading Education"",
TRUE,""General Trading Education""
)
"),"Technical Analysis / Chart Patterns")</f>
        <v>Technical Analysis / Chart Patterns</v>
      </c>
    </row>
    <row r="430" ht="15.75" customHeight="1">
      <c r="A430" s="1" t="s">
        <v>2153</v>
      </c>
      <c r="B430" s="3" t="s">
        <v>2154</v>
      </c>
      <c r="C430" s="1" t="s">
        <v>2155</v>
      </c>
      <c r="D430" s="1" t="s">
        <v>2156</v>
      </c>
      <c r="E430" s="4">
        <v>44851.0</v>
      </c>
      <c r="F430" s="5">
        <v>0.6319444444444444</v>
      </c>
      <c r="G430" s="1">
        <v>13959.0</v>
      </c>
      <c r="H430" s="1">
        <v>825.0</v>
      </c>
      <c r="I430" s="1">
        <v>27.0</v>
      </c>
      <c r="J430" s="3" t="s">
        <v>2157</v>
      </c>
      <c r="K430" s="6">
        <f t="shared" si="1"/>
        <v>6.103589082</v>
      </c>
      <c r="L430" s="7">
        <f t="shared" si="2"/>
        <v>910</v>
      </c>
      <c r="M430" s="8">
        <f t="shared" si="3"/>
        <v>44851</v>
      </c>
      <c r="N430" s="9" t="str">
        <f>IFERROR(__xludf.DUMMYFUNCTION("IFS(
REGEXMATCH(LOWER(A430),""option|options""),""Options Strategy Education"",
REGEXMATCH(LOWER(A430),""bank nifty|nifty|index""),""Index Options"",
REGEXMATCH(LOWER(A430),""algo|api|systematic""),""Algo Trading / API Tutorial"",
REGEXMATCH(LOWER(A430),"&amp;"""groww|mtf|margin|pledge""),""Platform / Groww Feature Tutorial"",
REGEXMATCH(LOWER(A430),""candlestick|chart|price action|trendline|rsi|indicator""),""Technical Analysis / Chart Patterns"",
REGEXMATCH(LOWER(A430),""beginner|guide|start trading""),""Begi"&amp;"nner Trading Education"",
REGEXMATCH(LOWER(A430),""interview|journey|talks|wisdom""),""Expert Interview / Trading Insights"",
REGEXMATCH(LOWER(A430),""risk|loss|drawdown|psychology""),""Trading Psychology / Risk Management"",
REGEXMATCH(LOWER(A430),""comm"&amp;"odity|crude|gold|natural gas""),""Commodity Trading Education"",
TRUE,""General Trading Education""
)
"),"General Trading Education")</f>
        <v>General Trading Education</v>
      </c>
    </row>
    <row r="431" ht="15.75" customHeight="1">
      <c r="A431" s="1" t="s">
        <v>2158</v>
      </c>
      <c r="B431" s="3" t="s">
        <v>2159</v>
      </c>
      <c r="C431" s="1" t="s">
        <v>2160</v>
      </c>
      <c r="D431" s="1" t="s">
        <v>2161</v>
      </c>
      <c r="E431" s="4">
        <v>44849.0</v>
      </c>
      <c r="F431" s="12">
        <v>0.04451388888888889</v>
      </c>
      <c r="G431" s="1">
        <v>71151.0</v>
      </c>
      <c r="H431" s="1">
        <v>1995.0</v>
      </c>
      <c r="I431" s="1">
        <v>47.0</v>
      </c>
      <c r="J431" s="3" t="s">
        <v>2162</v>
      </c>
      <c r="K431" s="6">
        <f t="shared" si="1"/>
        <v>2.869952636</v>
      </c>
      <c r="L431" s="7">
        <f t="shared" si="2"/>
        <v>64.1</v>
      </c>
      <c r="M431" s="8">
        <f t="shared" si="3"/>
        <v>44844</v>
      </c>
      <c r="N431" s="9" t="str">
        <f>IFERROR(__xludf.DUMMYFUNCTION("IFS(
REGEXMATCH(LOWER(A431),""option|options""),""Options Strategy Education"",
REGEXMATCH(LOWER(A431),""bank nifty|nifty|index""),""Index Options"",
REGEXMATCH(LOWER(A431),""algo|api|systematic""),""Algo Trading / API Tutorial"",
REGEXMATCH(LOWER(A431),"&amp;"""groww|mtf|margin|pledge""),""Platform / Groww Feature Tutorial"",
REGEXMATCH(LOWER(A431),""candlestick|chart|price action|trendline|rsi|indicator""),""Technical Analysis / Chart Patterns"",
REGEXMATCH(LOWER(A431),""beginner|guide|start trading""),""Begi"&amp;"nner Trading Education"",
REGEXMATCH(LOWER(A431),""interview|journey|talks|wisdom""),""Expert Interview / Trading Insights"",
REGEXMATCH(LOWER(A431),""risk|loss|drawdown|psychology""),""Trading Psychology / Risk Management"",
REGEXMATCH(LOWER(A431),""comm"&amp;"odity|crude|gold|natural gas""),""Commodity Trading Education"",
TRUE,""General Trading Education""
)
"),"General Trading Education")</f>
        <v>General Trading Education</v>
      </c>
    </row>
    <row r="432" ht="15.75" customHeight="1">
      <c r="A432" s="1" t="s">
        <v>2163</v>
      </c>
      <c r="B432" s="3" t="s">
        <v>2164</v>
      </c>
      <c r="C432" s="1" t="s">
        <v>2165</v>
      </c>
      <c r="D432" s="1" t="s">
        <v>2166</v>
      </c>
      <c r="E432" s="4">
        <v>44848.0</v>
      </c>
      <c r="F432" s="5">
        <v>0.5291666666666667</v>
      </c>
      <c r="G432" s="1">
        <v>15951.0</v>
      </c>
      <c r="H432" s="1">
        <v>660.0</v>
      </c>
      <c r="I432" s="1">
        <v>13.0</v>
      </c>
      <c r="J432" s="3" t="s">
        <v>2167</v>
      </c>
      <c r="K432" s="6">
        <f t="shared" si="1"/>
        <v>4.219171212</v>
      </c>
      <c r="L432" s="7">
        <f t="shared" si="2"/>
        <v>762</v>
      </c>
      <c r="M432" s="8">
        <f t="shared" si="3"/>
        <v>44844</v>
      </c>
      <c r="N432" s="9" t="str">
        <f>IFERROR(__xludf.DUMMYFUNCTION("IFS(
REGEXMATCH(LOWER(A432),""option|options""),""Options Strategy Education"",
REGEXMATCH(LOWER(A432),""bank nifty|nifty|index""),""Index Options"",
REGEXMATCH(LOWER(A432),""algo|api|systematic""),""Algo Trading / API Tutorial"",
REGEXMATCH(LOWER(A432),"&amp;"""groww|mtf|margin|pledge""),""Platform / Groww Feature Tutorial"",
REGEXMATCH(LOWER(A432),""candlestick|chart|price action|trendline|rsi|indicator""),""Technical Analysis / Chart Patterns"",
REGEXMATCH(LOWER(A432),""beginner|guide|start trading""),""Begi"&amp;"nner Trading Education"",
REGEXMATCH(LOWER(A432),""interview|journey|talks|wisdom""),""Expert Interview / Trading Insights"",
REGEXMATCH(LOWER(A432),""risk|loss|drawdown|psychology""),""Trading Psychology / Risk Management"",
REGEXMATCH(LOWER(A432),""comm"&amp;"odity|crude|gold|natural gas""),""Commodity Trading Education"",
TRUE,""General Trading Education""
)
"),"Options Strategy Education")</f>
        <v>Options Strategy Education</v>
      </c>
    </row>
    <row r="433" ht="15.75" customHeight="1">
      <c r="A433" s="1" t="s">
        <v>2168</v>
      </c>
      <c r="B433" s="3" t="s">
        <v>2169</v>
      </c>
      <c r="C433" s="1" t="s">
        <v>2170</v>
      </c>
      <c r="D433" s="1" t="s">
        <v>2171</v>
      </c>
      <c r="E433" s="4">
        <v>44847.0</v>
      </c>
      <c r="F433" s="5">
        <v>0.5173611111111112</v>
      </c>
      <c r="G433" s="1">
        <v>6116.0</v>
      </c>
      <c r="H433" s="1">
        <v>276.0</v>
      </c>
      <c r="I433" s="1">
        <v>4.0</v>
      </c>
      <c r="J433" s="3" t="s">
        <v>2172</v>
      </c>
      <c r="K433" s="6">
        <f t="shared" si="1"/>
        <v>4.578155657</v>
      </c>
      <c r="L433" s="7">
        <f t="shared" si="2"/>
        <v>745</v>
      </c>
      <c r="M433" s="8">
        <f t="shared" si="3"/>
        <v>44844</v>
      </c>
      <c r="N433" s="9" t="str">
        <f>IFERROR(__xludf.DUMMYFUNCTION("IFS(
REGEXMATCH(LOWER(A433),""option|options""),""Options Strategy Education"",
REGEXMATCH(LOWER(A433),""bank nifty|nifty|index""),""Index Options"",
REGEXMATCH(LOWER(A433),""algo|api|systematic""),""Algo Trading / API Tutorial"",
REGEXMATCH(LOWER(A433),"&amp;"""groww|mtf|margin|pledge""),""Platform / Groww Feature Tutorial"",
REGEXMATCH(LOWER(A433),""candlestick|chart|price action|trendline|rsi|indicator""),""Technical Analysis / Chart Patterns"",
REGEXMATCH(LOWER(A433),""beginner|guide|start trading""),""Begi"&amp;"nner Trading Education"",
REGEXMATCH(LOWER(A433),""interview|journey|talks|wisdom""),""Expert Interview / Trading Insights"",
REGEXMATCH(LOWER(A433),""risk|loss|drawdown|psychology""),""Trading Psychology / Risk Management"",
REGEXMATCH(LOWER(A433),""comm"&amp;"odity|crude|gold|natural gas""),""Commodity Trading Education"",
TRUE,""General Trading Education""
)
"),"General Trading Education")</f>
        <v>General Trading Education</v>
      </c>
    </row>
    <row r="434" ht="15.75" customHeight="1">
      <c r="A434" s="1" t="s">
        <v>2173</v>
      </c>
      <c r="B434" s="3" t="s">
        <v>2174</v>
      </c>
      <c r="C434" s="1" t="s">
        <v>2175</v>
      </c>
      <c r="D434" s="1" t="s">
        <v>2176</v>
      </c>
      <c r="E434" s="4">
        <v>44846.0</v>
      </c>
      <c r="F434" s="5">
        <v>0.46111111111111114</v>
      </c>
      <c r="G434" s="1">
        <v>11583.0</v>
      </c>
      <c r="H434" s="1">
        <v>587.0</v>
      </c>
      <c r="I434" s="1">
        <v>10.0</v>
      </c>
      <c r="J434" s="3" t="s">
        <v>2177</v>
      </c>
      <c r="K434" s="6">
        <f t="shared" si="1"/>
        <v>5.154105154</v>
      </c>
      <c r="L434" s="7">
        <f t="shared" si="2"/>
        <v>664</v>
      </c>
      <c r="M434" s="8">
        <f t="shared" si="3"/>
        <v>44844</v>
      </c>
      <c r="N434" s="9" t="str">
        <f>IFERROR(__xludf.DUMMYFUNCTION("IFS(
REGEXMATCH(LOWER(A434),""option|options""),""Options Strategy Education"",
REGEXMATCH(LOWER(A434),""bank nifty|nifty|index""),""Index Options"",
REGEXMATCH(LOWER(A434),""algo|api|systematic""),""Algo Trading / API Tutorial"",
REGEXMATCH(LOWER(A434),"&amp;"""groww|mtf|margin|pledge""),""Platform / Groww Feature Tutorial"",
REGEXMATCH(LOWER(A434),""candlestick|chart|price action|trendline|rsi|indicator""),""Technical Analysis / Chart Patterns"",
REGEXMATCH(LOWER(A434),""beginner|guide|start trading""),""Begi"&amp;"nner Trading Education"",
REGEXMATCH(LOWER(A434),""interview|journey|talks|wisdom""),""Expert Interview / Trading Insights"",
REGEXMATCH(LOWER(A434),""risk|loss|drawdown|psychology""),""Trading Psychology / Risk Management"",
REGEXMATCH(LOWER(A434),""comm"&amp;"odity|crude|gold|natural gas""),""Commodity Trading Education"",
TRUE,""General Trading Education""
)
"),"Beginner Trading Education")</f>
        <v>Beginner Trading Education</v>
      </c>
    </row>
    <row r="435" ht="15.75" customHeight="1">
      <c r="A435" s="1" t="s">
        <v>2178</v>
      </c>
      <c r="B435" s="3" t="s">
        <v>2179</v>
      </c>
      <c r="C435" s="1" t="s">
        <v>2180</v>
      </c>
      <c r="D435" s="1" t="s">
        <v>2181</v>
      </c>
      <c r="E435" s="4">
        <v>44845.0</v>
      </c>
      <c r="F435" s="5">
        <v>0.8958333333333334</v>
      </c>
      <c r="G435" s="1">
        <v>36878.0</v>
      </c>
      <c r="H435" s="1">
        <v>1260.0</v>
      </c>
      <c r="I435" s="1">
        <v>25.0</v>
      </c>
      <c r="J435" s="3" t="s">
        <v>2182</v>
      </c>
      <c r="K435" s="6">
        <f t="shared" si="1"/>
        <v>3.484462281</v>
      </c>
      <c r="L435" s="7">
        <f t="shared" si="2"/>
        <v>1290</v>
      </c>
      <c r="M435" s="8">
        <f t="shared" si="3"/>
        <v>44844</v>
      </c>
      <c r="N435" s="9" t="str">
        <f>IFERROR(__xludf.DUMMYFUNCTION("IFS(
REGEXMATCH(LOWER(A435),""option|options""),""Options Strategy Education"",
REGEXMATCH(LOWER(A435),""bank nifty|nifty|index""),""Index Options"",
REGEXMATCH(LOWER(A435),""algo|api|systematic""),""Algo Trading / API Tutorial"",
REGEXMATCH(LOWER(A435),"&amp;"""groww|mtf|margin|pledge""),""Platform / Groww Feature Tutorial"",
REGEXMATCH(LOWER(A435),""candlestick|chart|price action|trendline|rsi|indicator""),""Technical Analysis / Chart Patterns"",
REGEXMATCH(LOWER(A435),""beginner|guide|start trading""),""Begi"&amp;"nner Trading Education"",
REGEXMATCH(LOWER(A435),""interview|journey|talks|wisdom""),""Expert Interview / Trading Insights"",
REGEXMATCH(LOWER(A435),""risk|loss|drawdown|psychology""),""Trading Psychology / Risk Management"",
REGEXMATCH(LOWER(A435),""comm"&amp;"odity|crude|gold|natural gas""),""Commodity Trading Education"",
TRUE,""General Trading Education""
)
"),"General Trading Education")</f>
        <v>General Trading Education</v>
      </c>
    </row>
    <row r="436" ht="15.75" customHeight="1">
      <c r="A436" s="1" t="s">
        <v>2183</v>
      </c>
      <c r="B436" s="3" t="s">
        <v>2184</v>
      </c>
      <c r="C436" s="1" t="s">
        <v>2185</v>
      </c>
      <c r="D436" s="1" t="s">
        <v>2186</v>
      </c>
      <c r="E436" s="4">
        <v>44842.0</v>
      </c>
      <c r="F436" s="10">
        <v>1.9972222222222222</v>
      </c>
      <c r="G436" s="1">
        <v>11652.0</v>
      </c>
      <c r="H436" s="1">
        <v>405.0</v>
      </c>
      <c r="I436" s="1">
        <v>13.0</v>
      </c>
      <c r="J436" s="3" t="s">
        <v>2187</v>
      </c>
      <c r="K436" s="6">
        <f t="shared" si="1"/>
        <v>3.587366976</v>
      </c>
      <c r="L436" s="7">
        <f t="shared" si="2"/>
        <v>2876</v>
      </c>
      <c r="M436" s="8">
        <f t="shared" si="3"/>
        <v>44837</v>
      </c>
      <c r="N436" s="9" t="str">
        <f>IFERROR(__xludf.DUMMYFUNCTION("IFS(
REGEXMATCH(LOWER(A436),""option|options""),""Options Strategy Education"",
REGEXMATCH(LOWER(A436),""bank nifty|nifty|index""),""Index Options"",
REGEXMATCH(LOWER(A436),""algo|api|systematic""),""Algo Trading / API Tutorial"",
REGEXMATCH(LOWER(A436),"&amp;"""groww|mtf|margin|pledge""),""Platform / Groww Feature Tutorial"",
REGEXMATCH(LOWER(A436),""candlestick|chart|price action|trendline|rsi|indicator""),""Technical Analysis / Chart Patterns"",
REGEXMATCH(LOWER(A436),""beginner|guide|start trading""),""Begi"&amp;"nner Trading Education"",
REGEXMATCH(LOWER(A436),""interview|journey|talks|wisdom""),""Expert Interview / Trading Insights"",
REGEXMATCH(LOWER(A436),""risk|loss|drawdown|psychology""),""Trading Psychology / Risk Management"",
REGEXMATCH(LOWER(A436),""comm"&amp;"odity|crude|gold|natural gas""),""Commodity Trading Education"",
TRUE,""General Trading Education""
)
"),"Trading Psychology / Risk Management")</f>
        <v>Trading Psychology / Risk Management</v>
      </c>
    </row>
    <row r="437" ht="15.75" customHeight="1">
      <c r="A437" s="1" t="s">
        <v>2188</v>
      </c>
      <c r="B437" s="3" t="s">
        <v>2189</v>
      </c>
      <c r="C437" s="1" t="s">
        <v>2190</v>
      </c>
      <c r="D437" s="1" t="s">
        <v>2191</v>
      </c>
      <c r="E437" s="4">
        <v>44841.0</v>
      </c>
      <c r="F437" s="5">
        <v>0.5159722222222223</v>
      </c>
      <c r="G437" s="1">
        <v>11200.0</v>
      </c>
      <c r="H437" s="1">
        <v>440.0</v>
      </c>
      <c r="I437" s="1">
        <v>10.0</v>
      </c>
      <c r="J437" s="3" t="s">
        <v>2192</v>
      </c>
      <c r="K437" s="6">
        <f t="shared" si="1"/>
        <v>4.017857143</v>
      </c>
      <c r="L437" s="7">
        <f t="shared" si="2"/>
        <v>743</v>
      </c>
      <c r="M437" s="8">
        <f t="shared" si="3"/>
        <v>44837</v>
      </c>
      <c r="N437" s="9" t="str">
        <f>IFERROR(__xludf.DUMMYFUNCTION("IFS(
REGEXMATCH(LOWER(A437),""option|options""),""Options Strategy Education"",
REGEXMATCH(LOWER(A437),""bank nifty|nifty|index""),""Index Options"",
REGEXMATCH(LOWER(A437),""algo|api|systematic""),""Algo Trading / API Tutorial"",
REGEXMATCH(LOWER(A437),"&amp;"""groww|mtf|margin|pledge""),""Platform / Groww Feature Tutorial"",
REGEXMATCH(LOWER(A437),""candlestick|chart|price action|trendline|rsi|indicator""),""Technical Analysis / Chart Patterns"",
REGEXMATCH(LOWER(A437),""beginner|guide|start trading""),""Begi"&amp;"nner Trading Education"",
REGEXMATCH(LOWER(A437),""interview|journey|talks|wisdom""),""Expert Interview / Trading Insights"",
REGEXMATCH(LOWER(A437),""risk|loss|drawdown|psychology""),""Trading Psychology / Risk Management"",
REGEXMATCH(LOWER(A437),""comm"&amp;"odity|crude|gold|natural gas""),""Commodity Trading Education"",
TRUE,""General Trading Education""
)
"),"General Trading Education")</f>
        <v>General Trading Education</v>
      </c>
    </row>
    <row r="438" ht="15.75" customHeight="1">
      <c r="A438" s="1" t="s">
        <v>2193</v>
      </c>
      <c r="B438" s="3" t="s">
        <v>2194</v>
      </c>
      <c r="C438" s="1" t="s">
        <v>2195</v>
      </c>
      <c r="D438" s="1" t="s">
        <v>2196</v>
      </c>
      <c r="E438" s="4">
        <v>44840.0</v>
      </c>
      <c r="F438" s="5">
        <v>0.6659722222222222</v>
      </c>
      <c r="G438" s="1">
        <v>4610.0</v>
      </c>
      <c r="H438" s="1">
        <v>282.0</v>
      </c>
      <c r="I438" s="1">
        <v>11.0</v>
      </c>
      <c r="J438" s="3" t="s">
        <v>2197</v>
      </c>
      <c r="K438" s="6">
        <f t="shared" si="1"/>
        <v>6.355748373</v>
      </c>
      <c r="L438" s="7">
        <f t="shared" si="2"/>
        <v>959</v>
      </c>
      <c r="M438" s="8">
        <f t="shared" si="3"/>
        <v>44837</v>
      </c>
      <c r="N438" s="9" t="str">
        <f>IFERROR(__xludf.DUMMYFUNCTION("IFS(
REGEXMATCH(LOWER(A438),""option|options""),""Options Strategy Education"",
REGEXMATCH(LOWER(A438),""bank nifty|nifty|index""),""Index Options"",
REGEXMATCH(LOWER(A438),""algo|api|systematic""),""Algo Trading / API Tutorial"",
REGEXMATCH(LOWER(A438),"&amp;"""groww|mtf|margin|pledge""),""Platform / Groww Feature Tutorial"",
REGEXMATCH(LOWER(A438),""candlestick|chart|price action|trendline|rsi|indicator""),""Technical Analysis / Chart Patterns"",
REGEXMATCH(LOWER(A438),""beginner|guide|start trading""),""Begi"&amp;"nner Trading Education"",
REGEXMATCH(LOWER(A438),""interview|journey|talks|wisdom""),""Expert Interview / Trading Insights"",
REGEXMATCH(LOWER(A438),""risk|loss|drawdown|psychology""),""Trading Psychology / Risk Management"",
REGEXMATCH(LOWER(A438),""comm"&amp;"odity|crude|gold|natural gas""),""Commodity Trading Education"",
TRUE,""General Trading Education""
)
"),"General Trading Education")</f>
        <v>General Trading Education</v>
      </c>
    </row>
    <row r="439" ht="15.75" customHeight="1">
      <c r="A439" s="1" t="s">
        <v>2198</v>
      </c>
      <c r="B439" s="3" t="s">
        <v>2199</v>
      </c>
      <c r="C439" s="1" t="s">
        <v>2200</v>
      </c>
      <c r="D439" s="1" t="s">
        <v>2201</v>
      </c>
      <c r="E439" s="4">
        <v>44838.0</v>
      </c>
      <c r="F439" s="5">
        <v>0.47708333333333336</v>
      </c>
      <c r="G439" s="1">
        <v>5746.0</v>
      </c>
      <c r="H439" s="1">
        <v>433.0</v>
      </c>
      <c r="I439" s="1">
        <v>11.0</v>
      </c>
      <c r="J439" s="3" t="s">
        <v>2202</v>
      </c>
      <c r="K439" s="6">
        <f t="shared" si="1"/>
        <v>7.727114514</v>
      </c>
      <c r="L439" s="7">
        <f t="shared" si="2"/>
        <v>687</v>
      </c>
      <c r="M439" s="8">
        <f t="shared" si="3"/>
        <v>44837</v>
      </c>
      <c r="N439" s="9" t="str">
        <f>IFERROR(__xludf.DUMMYFUNCTION("IFS(
REGEXMATCH(LOWER(A439),""option|options""),""Options Strategy Education"",
REGEXMATCH(LOWER(A439),""bank nifty|nifty|index""),""Index Options"",
REGEXMATCH(LOWER(A439),""algo|api|systematic""),""Algo Trading / API Tutorial"",
REGEXMATCH(LOWER(A439),"&amp;"""groww|mtf|margin|pledge""),""Platform / Groww Feature Tutorial"",
REGEXMATCH(LOWER(A439),""candlestick|chart|price action|trendline|rsi|indicator""),""Technical Analysis / Chart Patterns"",
REGEXMATCH(LOWER(A439),""beginner|guide|start trading""),""Begi"&amp;"nner Trading Education"",
REGEXMATCH(LOWER(A439),""interview|journey|talks|wisdom""),""Expert Interview / Trading Insights"",
REGEXMATCH(LOWER(A439),""risk|loss|drawdown|psychology""),""Trading Psychology / Risk Management"",
REGEXMATCH(LOWER(A439),""comm"&amp;"odity|crude|gold|natural gas""),""Commodity Trading Education"",
TRUE,""General Trading Education""
)
"),"Index Options")</f>
        <v>Index Options</v>
      </c>
    </row>
    <row r="440" ht="15.75" customHeight="1">
      <c r="A440" s="1" t="s">
        <v>2203</v>
      </c>
      <c r="B440" s="3" t="s">
        <v>2204</v>
      </c>
      <c r="C440" s="1" t="s">
        <v>2205</v>
      </c>
      <c r="D440" s="1" t="s">
        <v>2206</v>
      </c>
      <c r="E440" s="4">
        <v>44837.0</v>
      </c>
      <c r="F440" s="5">
        <v>0.8819444444444444</v>
      </c>
      <c r="G440" s="1">
        <v>8668.0</v>
      </c>
      <c r="H440" s="1">
        <v>552.0</v>
      </c>
      <c r="I440" s="1">
        <v>11.0</v>
      </c>
      <c r="J440" s="3" t="s">
        <v>2207</v>
      </c>
      <c r="K440" s="6">
        <f t="shared" si="1"/>
        <v>6.495154592</v>
      </c>
      <c r="L440" s="7">
        <f t="shared" si="2"/>
        <v>1270</v>
      </c>
      <c r="M440" s="8">
        <f t="shared" si="3"/>
        <v>44837</v>
      </c>
      <c r="N440" s="9" t="str">
        <f>IFERROR(__xludf.DUMMYFUNCTION("IFS(
REGEXMATCH(LOWER(A440),""option|options""),""Options Strategy Education"",
REGEXMATCH(LOWER(A440),""bank nifty|nifty|index""),""Index Options"",
REGEXMATCH(LOWER(A440),""algo|api|systematic""),""Algo Trading / API Tutorial"",
REGEXMATCH(LOWER(A440),"&amp;"""groww|mtf|margin|pledge""),""Platform / Groww Feature Tutorial"",
REGEXMATCH(LOWER(A440),""candlestick|chart|price action|trendline|rsi|indicator""),""Technical Analysis / Chart Patterns"",
REGEXMATCH(LOWER(A440),""beginner|guide|start trading""),""Begi"&amp;"nner Trading Education"",
REGEXMATCH(LOWER(A440),""interview|journey|talks|wisdom""),""Expert Interview / Trading Insights"",
REGEXMATCH(LOWER(A440),""risk|loss|drawdown|psychology""),""Trading Psychology / Risk Management"",
REGEXMATCH(LOWER(A440),""comm"&amp;"odity|crude|gold|natural gas""),""Commodity Trading Education"",
TRUE,""General Trading Education""
)
"),"Technical Analysis / Chart Patterns")</f>
        <v>Technical Analysis / Chart Patterns</v>
      </c>
    </row>
    <row r="441" ht="15.75" customHeight="1">
      <c r="A441" s="1" t="s">
        <v>2208</v>
      </c>
      <c r="B441" s="3" t="s">
        <v>2209</v>
      </c>
      <c r="C441" s="1" t="s">
        <v>2210</v>
      </c>
      <c r="D441" s="1" t="s">
        <v>2211</v>
      </c>
      <c r="E441" s="4">
        <v>44835.0</v>
      </c>
      <c r="F441" s="10">
        <v>2.061111111111111</v>
      </c>
      <c r="G441" s="1">
        <v>36256.0</v>
      </c>
      <c r="H441" s="1">
        <v>1262.0</v>
      </c>
      <c r="I441" s="1">
        <v>56.0</v>
      </c>
      <c r="J441" s="3" t="s">
        <v>2212</v>
      </c>
      <c r="K441" s="6">
        <f t="shared" si="1"/>
        <v>3.635260371</v>
      </c>
      <c r="L441" s="7">
        <f t="shared" si="2"/>
        <v>2968</v>
      </c>
      <c r="M441" s="8">
        <f t="shared" si="3"/>
        <v>44830</v>
      </c>
      <c r="N441" s="9" t="str">
        <f>IFERROR(__xludf.DUMMYFUNCTION("IFS(
REGEXMATCH(LOWER(A441),""option|options""),""Options Strategy Education"",
REGEXMATCH(LOWER(A441),""bank nifty|nifty|index""),""Index Options"",
REGEXMATCH(LOWER(A441),""algo|api|systematic""),""Algo Trading / API Tutorial"",
REGEXMATCH(LOWER(A441),"&amp;"""groww|mtf|margin|pledge""),""Platform / Groww Feature Tutorial"",
REGEXMATCH(LOWER(A441),""candlestick|chart|price action|trendline|rsi|indicator""),""Technical Analysis / Chart Patterns"",
REGEXMATCH(LOWER(A441),""beginner|guide|start trading""),""Begi"&amp;"nner Trading Education"",
REGEXMATCH(LOWER(A441),""interview|journey|talks|wisdom""),""Expert Interview / Trading Insights"",
REGEXMATCH(LOWER(A441),""risk|loss|drawdown|psychology""),""Trading Psychology / Risk Management"",
REGEXMATCH(LOWER(A441),""comm"&amp;"odity|crude|gold|natural gas""),""Commodity Trading Education"",
TRUE,""General Trading Education""
)
"),"General Trading Education")</f>
        <v>General Trading Education</v>
      </c>
    </row>
    <row r="442" ht="15.75" customHeight="1">
      <c r="A442" s="1" t="s">
        <v>2213</v>
      </c>
      <c r="B442" s="3" t="s">
        <v>2214</v>
      </c>
      <c r="C442" s="1" t="s">
        <v>2215</v>
      </c>
      <c r="D442" s="1" t="s">
        <v>2216</v>
      </c>
      <c r="E442" s="4">
        <v>44834.0</v>
      </c>
      <c r="F442" s="5">
        <v>0.5013888888888889</v>
      </c>
      <c r="G442" s="1">
        <v>7410.0</v>
      </c>
      <c r="H442" s="1">
        <v>380.0</v>
      </c>
      <c r="I442" s="1">
        <v>11.0</v>
      </c>
      <c r="J442" s="3" t="s">
        <v>2217</v>
      </c>
      <c r="K442" s="6">
        <f t="shared" si="1"/>
        <v>5.276653171</v>
      </c>
      <c r="L442" s="7">
        <f t="shared" si="2"/>
        <v>722</v>
      </c>
      <c r="M442" s="8">
        <f t="shared" si="3"/>
        <v>44830</v>
      </c>
      <c r="N442" s="9" t="str">
        <f>IFERROR(__xludf.DUMMYFUNCTION("IFS(
REGEXMATCH(LOWER(A442),""option|options""),""Options Strategy Education"",
REGEXMATCH(LOWER(A442),""bank nifty|nifty|index""),""Index Options"",
REGEXMATCH(LOWER(A442),""algo|api|systematic""),""Algo Trading / API Tutorial"",
REGEXMATCH(LOWER(A442),"&amp;"""groww|mtf|margin|pledge""),""Platform / Groww Feature Tutorial"",
REGEXMATCH(LOWER(A442),""candlestick|chart|price action|trendline|rsi|indicator""),""Technical Analysis / Chart Patterns"",
REGEXMATCH(LOWER(A442),""beginner|guide|start trading""),""Begi"&amp;"nner Trading Education"",
REGEXMATCH(LOWER(A442),""interview|journey|talks|wisdom""),""Expert Interview / Trading Insights"",
REGEXMATCH(LOWER(A442),""risk|loss|drawdown|psychology""),""Trading Psychology / Risk Management"",
REGEXMATCH(LOWER(A442),""comm"&amp;"odity|crude|gold|natural gas""),""Commodity Trading Education"",
TRUE,""General Trading Education""
)
"),"General Trading Education")</f>
        <v>General Trading Education</v>
      </c>
    </row>
    <row r="443" ht="15.75" customHeight="1">
      <c r="A443" s="1" t="s">
        <v>2218</v>
      </c>
      <c r="B443" s="3" t="s">
        <v>2219</v>
      </c>
      <c r="C443" s="1" t="s">
        <v>2220</v>
      </c>
      <c r="D443" s="1" t="s">
        <v>2221</v>
      </c>
      <c r="E443" s="4">
        <v>44833.0</v>
      </c>
      <c r="F443" s="5">
        <v>0.5479166666666667</v>
      </c>
      <c r="G443" s="1">
        <v>4631.0</v>
      </c>
      <c r="H443" s="1">
        <v>271.0</v>
      </c>
      <c r="I443" s="1">
        <v>11.0</v>
      </c>
      <c r="J443" s="3" t="s">
        <v>2222</v>
      </c>
      <c r="K443" s="6">
        <f t="shared" si="1"/>
        <v>6.089397538</v>
      </c>
      <c r="L443" s="7">
        <f t="shared" si="2"/>
        <v>789</v>
      </c>
      <c r="M443" s="8">
        <f t="shared" si="3"/>
        <v>44830</v>
      </c>
      <c r="N443" s="9" t="str">
        <f>IFERROR(__xludf.DUMMYFUNCTION("IFS(
REGEXMATCH(LOWER(A443),""option|options""),""Options Strategy Education"",
REGEXMATCH(LOWER(A443),""bank nifty|nifty|index""),""Index Options"",
REGEXMATCH(LOWER(A443),""algo|api|systematic""),""Algo Trading / API Tutorial"",
REGEXMATCH(LOWER(A443),"&amp;"""groww|mtf|margin|pledge""),""Platform / Groww Feature Tutorial"",
REGEXMATCH(LOWER(A443),""candlestick|chart|price action|trendline|rsi|indicator""),""Technical Analysis / Chart Patterns"",
REGEXMATCH(LOWER(A443),""beginner|guide|start trading""),""Begi"&amp;"nner Trading Education"",
REGEXMATCH(LOWER(A443),""interview|journey|talks|wisdom""),""Expert Interview / Trading Insights"",
REGEXMATCH(LOWER(A443),""risk|loss|drawdown|psychology""),""Trading Psychology / Risk Management"",
REGEXMATCH(LOWER(A443),""comm"&amp;"odity|crude|gold|natural gas""),""Commodity Trading Education"",
TRUE,""General Trading Education""
)
"),"General Trading Education")</f>
        <v>General Trading Education</v>
      </c>
    </row>
    <row r="444" ht="15.75" customHeight="1">
      <c r="A444" s="1" t="s">
        <v>2223</v>
      </c>
      <c r="B444" s="3" t="s">
        <v>2224</v>
      </c>
      <c r="C444" s="1" t="s">
        <v>2225</v>
      </c>
      <c r="D444" s="1" t="s">
        <v>2226</v>
      </c>
      <c r="E444" s="4">
        <v>44832.0</v>
      </c>
      <c r="F444" s="5">
        <v>0.675</v>
      </c>
      <c r="G444" s="1">
        <v>34527.0</v>
      </c>
      <c r="H444" s="1">
        <v>1292.0</v>
      </c>
      <c r="I444" s="1">
        <v>27.0</v>
      </c>
      <c r="J444" s="3" t="s">
        <v>2227</v>
      </c>
      <c r="K444" s="6">
        <f t="shared" si="1"/>
        <v>3.820198685</v>
      </c>
      <c r="L444" s="7">
        <f t="shared" si="2"/>
        <v>972</v>
      </c>
      <c r="M444" s="8">
        <f t="shared" si="3"/>
        <v>44830</v>
      </c>
      <c r="N444" s="9" t="str">
        <f>IFERROR(__xludf.DUMMYFUNCTION("IFS(
REGEXMATCH(LOWER(A444),""option|options""),""Options Strategy Education"",
REGEXMATCH(LOWER(A444),""bank nifty|nifty|index""),""Index Options"",
REGEXMATCH(LOWER(A444),""algo|api|systematic""),""Algo Trading / API Tutorial"",
REGEXMATCH(LOWER(A444),"&amp;"""groww|mtf|margin|pledge""),""Platform / Groww Feature Tutorial"",
REGEXMATCH(LOWER(A444),""candlestick|chart|price action|trendline|rsi|indicator""),""Technical Analysis / Chart Patterns"",
REGEXMATCH(LOWER(A444),""beginner|guide|start trading""),""Begi"&amp;"nner Trading Education"",
REGEXMATCH(LOWER(A444),""interview|journey|talks|wisdom""),""Expert Interview / Trading Insights"",
REGEXMATCH(LOWER(A444),""risk|loss|drawdown|psychology""),""Trading Psychology / Risk Management"",
REGEXMATCH(LOWER(A444),""comm"&amp;"odity|crude|gold|natural gas""),""Commodity Trading Education"",
TRUE,""General Trading Education""
)
"),"Technical Analysis / Chart Patterns")</f>
        <v>Technical Analysis / Chart Patterns</v>
      </c>
    </row>
    <row r="445" ht="15.75" customHeight="1">
      <c r="A445" s="1" t="s">
        <v>2228</v>
      </c>
      <c r="B445" s="3" t="s">
        <v>2229</v>
      </c>
      <c r="C445" s="1" t="s">
        <v>2230</v>
      </c>
      <c r="D445" s="1" t="s">
        <v>2231</v>
      </c>
      <c r="E445" s="4">
        <v>44831.0</v>
      </c>
      <c r="F445" s="5">
        <v>0.5555555555555556</v>
      </c>
      <c r="G445" s="1">
        <v>59151.0</v>
      </c>
      <c r="H445" s="1">
        <v>2614.0</v>
      </c>
      <c r="I445" s="1">
        <v>68.0</v>
      </c>
      <c r="J445" s="3" t="s">
        <v>2232</v>
      </c>
      <c r="K445" s="6">
        <f t="shared" si="1"/>
        <v>4.534158341</v>
      </c>
      <c r="L445" s="7">
        <f t="shared" si="2"/>
        <v>800</v>
      </c>
      <c r="M445" s="8">
        <f t="shared" si="3"/>
        <v>44830</v>
      </c>
      <c r="N445" s="9" t="str">
        <f>IFERROR(__xludf.DUMMYFUNCTION("IFS(
REGEXMATCH(LOWER(A445),""option|options""),""Options Strategy Education"",
REGEXMATCH(LOWER(A445),""bank nifty|nifty|index""),""Index Options"",
REGEXMATCH(LOWER(A445),""algo|api|systematic""),""Algo Trading / API Tutorial"",
REGEXMATCH(LOWER(A445),"&amp;"""groww|mtf|margin|pledge""),""Platform / Groww Feature Tutorial"",
REGEXMATCH(LOWER(A445),""candlestick|chart|price action|trendline|rsi|indicator""),""Technical Analysis / Chart Patterns"",
REGEXMATCH(LOWER(A445),""beginner|guide|start trading""),""Begi"&amp;"nner Trading Education"",
REGEXMATCH(LOWER(A445),""interview|journey|talks|wisdom""),""Expert Interview / Trading Insights"",
REGEXMATCH(LOWER(A445),""risk|loss|drawdown|psychology""),""Trading Psychology / Risk Management"",
REGEXMATCH(LOWER(A445),""comm"&amp;"odity|crude|gold|natural gas""),""Commodity Trading Education"",
TRUE,""General Trading Education""
)
"),"Options Strategy Education")</f>
        <v>Options Strategy Education</v>
      </c>
    </row>
    <row r="446" ht="15.75" customHeight="1">
      <c r="A446" s="1" t="s">
        <v>2233</v>
      </c>
      <c r="B446" s="3" t="s">
        <v>2234</v>
      </c>
      <c r="C446" s="1" t="s">
        <v>2235</v>
      </c>
      <c r="D446" s="1" t="s">
        <v>2236</v>
      </c>
      <c r="E446" s="4">
        <v>44829.0</v>
      </c>
      <c r="F446" s="10">
        <v>2.0569444444444445</v>
      </c>
      <c r="G446" s="1">
        <v>54135.0</v>
      </c>
      <c r="H446" s="1">
        <v>1702.0</v>
      </c>
      <c r="I446" s="1">
        <v>96.0</v>
      </c>
      <c r="J446" s="3" t="s">
        <v>2237</v>
      </c>
      <c r="K446" s="6">
        <f t="shared" si="1"/>
        <v>3.321326314</v>
      </c>
      <c r="L446" s="7">
        <f t="shared" si="2"/>
        <v>2962</v>
      </c>
      <c r="M446" s="8">
        <f t="shared" si="3"/>
        <v>44823</v>
      </c>
      <c r="N446" s="9" t="str">
        <f>IFERROR(__xludf.DUMMYFUNCTION("IFS(
REGEXMATCH(LOWER(A446),""option|options""),""Options Strategy Education"",
REGEXMATCH(LOWER(A446),""bank nifty|nifty|index""),""Index Options"",
REGEXMATCH(LOWER(A446),""algo|api|systematic""),""Algo Trading / API Tutorial"",
REGEXMATCH(LOWER(A446),"&amp;"""groww|mtf|margin|pledge""),""Platform / Groww Feature Tutorial"",
REGEXMATCH(LOWER(A446),""candlestick|chart|price action|trendline|rsi|indicator""),""Technical Analysis / Chart Patterns"",
REGEXMATCH(LOWER(A446),""beginner|guide|start trading""),""Begi"&amp;"nner Trading Education"",
REGEXMATCH(LOWER(A446),""interview|journey|talks|wisdom""),""Expert Interview / Trading Insights"",
REGEXMATCH(LOWER(A446),""risk|loss|drawdown|psychology""),""Trading Psychology / Risk Management"",
REGEXMATCH(LOWER(A446),""comm"&amp;"odity|crude|gold|natural gas""),""Commodity Trading Education"",
TRUE,""General Trading Education""
)
"),"General Trading Education")</f>
        <v>General Trading Education</v>
      </c>
    </row>
    <row r="447" ht="15.75" customHeight="1">
      <c r="A447" s="1" t="s">
        <v>2238</v>
      </c>
      <c r="B447" s="3" t="s">
        <v>2239</v>
      </c>
      <c r="C447" s="1" t="s">
        <v>2240</v>
      </c>
      <c r="D447" s="1" t="s">
        <v>2241</v>
      </c>
      <c r="E447" s="4">
        <v>44826.0</v>
      </c>
      <c r="F447" s="5">
        <v>0.7222222222222222</v>
      </c>
      <c r="G447" s="1">
        <v>4810.0</v>
      </c>
      <c r="H447" s="1">
        <v>328.0</v>
      </c>
      <c r="I447" s="1">
        <v>5.0</v>
      </c>
      <c r="J447" s="3" t="s">
        <v>2242</v>
      </c>
      <c r="K447" s="6">
        <f t="shared" si="1"/>
        <v>6.923076923</v>
      </c>
      <c r="L447" s="7">
        <f t="shared" si="2"/>
        <v>1040</v>
      </c>
      <c r="M447" s="8">
        <f t="shared" si="3"/>
        <v>44823</v>
      </c>
      <c r="N447" s="9" t="str">
        <f>IFERROR(__xludf.DUMMYFUNCTION("IFS(
REGEXMATCH(LOWER(A447),""option|options""),""Options Strategy Education"",
REGEXMATCH(LOWER(A447),""bank nifty|nifty|index""),""Index Options"",
REGEXMATCH(LOWER(A447),""algo|api|systematic""),""Algo Trading / API Tutorial"",
REGEXMATCH(LOWER(A447),"&amp;"""groww|mtf|margin|pledge""),""Platform / Groww Feature Tutorial"",
REGEXMATCH(LOWER(A447),""candlestick|chart|price action|trendline|rsi|indicator""),""Technical Analysis / Chart Patterns"",
REGEXMATCH(LOWER(A447),""beginner|guide|start trading""),""Begi"&amp;"nner Trading Education"",
REGEXMATCH(LOWER(A447),""interview|journey|talks|wisdom""),""Expert Interview / Trading Insights"",
REGEXMATCH(LOWER(A447),""risk|loss|drawdown|psychology""),""Trading Psychology / Risk Management"",
REGEXMATCH(LOWER(A447),""comm"&amp;"odity|crude|gold|natural gas""),""Commodity Trading Education"",
TRUE,""General Trading Education""
)
"),"General Trading Education")</f>
        <v>General Trading Education</v>
      </c>
    </row>
    <row r="448" ht="15.75" customHeight="1">
      <c r="A448" s="1" t="s">
        <v>2243</v>
      </c>
      <c r="B448" s="3" t="s">
        <v>2244</v>
      </c>
      <c r="C448" s="1" t="s">
        <v>2245</v>
      </c>
      <c r="D448" s="1" t="s">
        <v>2246</v>
      </c>
      <c r="E448" s="4">
        <v>44825.0</v>
      </c>
      <c r="F448" s="5">
        <v>0.6166666666666667</v>
      </c>
      <c r="G448" s="1">
        <v>7742.0</v>
      </c>
      <c r="H448" s="1">
        <v>479.0</v>
      </c>
      <c r="I448" s="1">
        <v>16.0</v>
      </c>
      <c r="J448" s="3" t="s">
        <v>2247</v>
      </c>
      <c r="K448" s="6">
        <f t="shared" si="1"/>
        <v>6.393696719</v>
      </c>
      <c r="L448" s="7">
        <f t="shared" si="2"/>
        <v>888</v>
      </c>
      <c r="M448" s="8">
        <f t="shared" si="3"/>
        <v>44823</v>
      </c>
      <c r="N448" s="9" t="str">
        <f>IFERROR(__xludf.DUMMYFUNCTION("IFS(
REGEXMATCH(LOWER(A448),""option|options""),""Options Strategy Education"",
REGEXMATCH(LOWER(A448),""bank nifty|nifty|index""),""Index Options"",
REGEXMATCH(LOWER(A448),""algo|api|systematic""),""Algo Trading / API Tutorial"",
REGEXMATCH(LOWER(A448),"&amp;"""groww|mtf|margin|pledge""),""Platform / Groww Feature Tutorial"",
REGEXMATCH(LOWER(A448),""candlestick|chart|price action|trendline|rsi|indicator""),""Technical Analysis / Chart Patterns"",
REGEXMATCH(LOWER(A448),""beginner|guide|start trading""),""Begi"&amp;"nner Trading Education"",
REGEXMATCH(LOWER(A448),""interview|journey|talks|wisdom""),""Expert Interview / Trading Insights"",
REGEXMATCH(LOWER(A448),""risk|loss|drawdown|psychology""),""Trading Psychology / Risk Management"",
REGEXMATCH(LOWER(A448),""comm"&amp;"odity|crude|gold|natural gas""),""Commodity Trading Education"",
TRUE,""General Trading Education""
)
"),"General Trading Education")</f>
        <v>General Trading Education</v>
      </c>
    </row>
    <row r="449" ht="15.75" customHeight="1">
      <c r="A449" s="1" t="s">
        <v>2248</v>
      </c>
      <c r="B449" s="3" t="s">
        <v>2249</v>
      </c>
      <c r="C449" s="1" t="s">
        <v>2250</v>
      </c>
      <c r="D449" s="1" t="s">
        <v>2251</v>
      </c>
      <c r="E449" s="4">
        <v>44824.0</v>
      </c>
      <c r="F449" s="5">
        <v>0.55625</v>
      </c>
      <c r="G449" s="1">
        <v>6978.0</v>
      </c>
      <c r="H449" s="1">
        <v>466.0</v>
      </c>
      <c r="I449" s="1">
        <v>29.0</v>
      </c>
      <c r="J449" s="3" t="s">
        <v>2252</v>
      </c>
      <c r="K449" s="6">
        <f t="shared" si="1"/>
        <v>7.09372313</v>
      </c>
      <c r="L449" s="7">
        <f t="shared" si="2"/>
        <v>801</v>
      </c>
      <c r="M449" s="8">
        <f t="shared" si="3"/>
        <v>44823</v>
      </c>
      <c r="N449" s="9" t="str">
        <f>IFERROR(__xludf.DUMMYFUNCTION("IFS(
REGEXMATCH(LOWER(A449),""option|options""),""Options Strategy Education"",
REGEXMATCH(LOWER(A449),""bank nifty|nifty|index""),""Index Options"",
REGEXMATCH(LOWER(A449),""algo|api|systematic""),""Algo Trading / API Tutorial"",
REGEXMATCH(LOWER(A449),"&amp;"""groww|mtf|margin|pledge""),""Platform / Groww Feature Tutorial"",
REGEXMATCH(LOWER(A449),""candlestick|chart|price action|trendline|rsi|indicator""),""Technical Analysis / Chart Patterns"",
REGEXMATCH(LOWER(A449),""beginner|guide|start trading""),""Begi"&amp;"nner Trading Education"",
REGEXMATCH(LOWER(A449),""interview|journey|talks|wisdom""),""Expert Interview / Trading Insights"",
REGEXMATCH(LOWER(A449),""risk|loss|drawdown|psychology""),""Trading Psychology / Risk Management"",
REGEXMATCH(LOWER(A449),""comm"&amp;"odity|crude|gold|natural gas""),""Commodity Trading Education"",
TRUE,""General Trading Education""
)
"),"Technical Analysis / Chart Patterns")</f>
        <v>Technical Analysis / Chart Patterns</v>
      </c>
    </row>
    <row r="450" ht="15.75" customHeight="1">
      <c r="A450" s="1" t="s">
        <v>2253</v>
      </c>
      <c r="B450" s="3" t="s">
        <v>2254</v>
      </c>
      <c r="C450" s="1" t="s">
        <v>2255</v>
      </c>
      <c r="D450" s="1" t="s">
        <v>2256</v>
      </c>
      <c r="E450" s="4">
        <v>44823.0</v>
      </c>
      <c r="F450" s="5">
        <v>0.9458333333333333</v>
      </c>
      <c r="G450" s="1">
        <v>34114.0</v>
      </c>
      <c r="H450" s="1">
        <v>1916.0</v>
      </c>
      <c r="I450" s="1">
        <v>29.0</v>
      </c>
      <c r="J450" s="3" t="s">
        <v>2257</v>
      </c>
      <c r="K450" s="6">
        <f t="shared" si="1"/>
        <v>5.701471537</v>
      </c>
      <c r="L450" s="7">
        <f t="shared" si="2"/>
        <v>1362</v>
      </c>
      <c r="M450" s="8">
        <f t="shared" si="3"/>
        <v>44823</v>
      </c>
      <c r="N450" s="9" t="str">
        <f>IFERROR(__xludf.DUMMYFUNCTION("IFS(
REGEXMATCH(LOWER(A450),""option|options""),""Options Strategy Education"",
REGEXMATCH(LOWER(A450),""bank nifty|nifty|index""),""Index Options"",
REGEXMATCH(LOWER(A450),""algo|api|systematic""),""Algo Trading / API Tutorial"",
REGEXMATCH(LOWER(A450),"&amp;"""groww|mtf|margin|pledge""),""Platform / Groww Feature Tutorial"",
REGEXMATCH(LOWER(A450),""candlestick|chart|price action|trendline|rsi|indicator""),""Technical Analysis / Chart Patterns"",
REGEXMATCH(LOWER(A450),""beginner|guide|start trading""),""Begi"&amp;"nner Trading Education"",
REGEXMATCH(LOWER(A450),""interview|journey|talks|wisdom""),""Expert Interview / Trading Insights"",
REGEXMATCH(LOWER(A450),""risk|loss|drawdown|psychology""),""Trading Psychology / Risk Management"",
REGEXMATCH(LOWER(A450),""comm"&amp;"odity|crude|gold|natural gas""),""Commodity Trading Education"",
TRUE,""General Trading Education""
)
"),"General Trading Education")</f>
        <v>General Trading Education</v>
      </c>
    </row>
    <row r="451" ht="15.75" customHeight="1">
      <c r="A451" s="1" t="s">
        <v>2258</v>
      </c>
      <c r="B451" s="3" t="s">
        <v>2259</v>
      </c>
      <c r="C451" s="1" t="s">
        <v>2260</v>
      </c>
      <c r="D451" s="1" t="s">
        <v>2261</v>
      </c>
      <c r="E451" s="4">
        <v>44819.0</v>
      </c>
      <c r="F451" s="5">
        <v>0.6590277777777778</v>
      </c>
      <c r="G451" s="1">
        <v>4423.0</v>
      </c>
      <c r="H451" s="1">
        <v>367.0</v>
      </c>
      <c r="I451" s="1">
        <v>9.0</v>
      </c>
      <c r="J451" s="3" t="s">
        <v>2262</v>
      </c>
      <c r="K451" s="6">
        <f t="shared" si="1"/>
        <v>8.501017409</v>
      </c>
      <c r="L451" s="7">
        <f t="shared" si="2"/>
        <v>949</v>
      </c>
      <c r="M451" s="8">
        <f t="shared" si="3"/>
        <v>44816</v>
      </c>
      <c r="N451" s="9" t="str">
        <f>IFERROR(__xludf.DUMMYFUNCTION("IFS(
REGEXMATCH(LOWER(A451),""option|options""),""Options Strategy Education"",
REGEXMATCH(LOWER(A451),""bank nifty|nifty|index""),""Index Options"",
REGEXMATCH(LOWER(A451),""algo|api|systematic""),""Algo Trading / API Tutorial"",
REGEXMATCH(LOWER(A451),"&amp;"""groww|mtf|margin|pledge""),""Platform / Groww Feature Tutorial"",
REGEXMATCH(LOWER(A451),""candlestick|chart|price action|trendline|rsi|indicator""),""Technical Analysis / Chart Patterns"",
REGEXMATCH(LOWER(A451),""beginner|guide|start trading""),""Begi"&amp;"nner Trading Education"",
REGEXMATCH(LOWER(A451),""interview|journey|talks|wisdom""),""Expert Interview / Trading Insights"",
REGEXMATCH(LOWER(A451),""risk|loss|drawdown|psychology""),""Trading Psychology / Risk Management"",
REGEXMATCH(LOWER(A451),""comm"&amp;"odity|crude|gold|natural gas""),""Commodity Trading Education"",
TRUE,""General Trading Education""
)
"),"General Trading Education")</f>
        <v>General Trading Education</v>
      </c>
    </row>
    <row r="452" ht="15.75" customHeight="1">
      <c r="A452" s="1" t="s">
        <v>2263</v>
      </c>
      <c r="B452" s="3" t="s">
        <v>2264</v>
      </c>
      <c r="C452" s="1" t="s">
        <v>2265</v>
      </c>
      <c r="D452" s="1" t="s">
        <v>2266</v>
      </c>
      <c r="E452" s="4">
        <v>44818.0</v>
      </c>
      <c r="F452" s="5">
        <v>0.6486111111111111</v>
      </c>
      <c r="G452" s="1">
        <v>8087.0</v>
      </c>
      <c r="H452" s="1">
        <v>533.0</v>
      </c>
      <c r="I452" s="1">
        <v>22.0</v>
      </c>
      <c r="J452" s="3" t="s">
        <v>2267</v>
      </c>
      <c r="K452" s="6">
        <f t="shared" si="1"/>
        <v>6.862866329</v>
      </c>
      <c r="L452" s="7">
        <f t="shared" si="2"/>
        <v>934</v>
      </c>
      <c r="M452" s="8">
        <f t="shared" si="3"/>
        <v>44816</v>
      </c>
      <c r="N452" s="9" t="str">
        <f>IFERROR(__xludf.DUMMYFUNCTION("IFS(
REGEXMATCH(LOWER(A452),""option|options""),""Options Strategy Education"",
REGEXMATCH(LOWER(A452),""bank nifty|nifty|index""),""Index Options"",
REGEXMATCH(LOWER(A452),""algo|api|systematic""),""Algo Trading / API Tutorial"",
REGEXMATCH(LOWER(A452),"&amp;"""groww|mtf|margin|pledge""),""Platform / Groww Feature Tutorial"",
REGEXMATCH(LOWER(A452),""candlestick|chart|price action|trendline|rsi|indicator""),""Technical Analysis / Chart Patterns"",
REGEXMATCH(LOWER(A452),""beginner|guide|start trading""),""Begi"&amp;"nner Trading Education"",
REGEXMATCH(LOWER(A452),""interview|journey|talks|wisdom""),""Expert Interview / Trading Insights"",
REGEXMATCH(LOWER(A452),""risk|loss|drawdown|psychology""),""Trading Psychology / Risk Management"",
REGEXMATCH(LOWER(A452),""comm"&amp;"odity|crude|gold|natural gas""),""Commodity Trading Education"",
TRUE,""General Trading Education""
)
"),"General Trading Education")</f>
        <v>General Trading Education</v>
      </c>
    </row>
    <row r="453" ht="15.75" customHeight="1">
      <c r="A453" s="1" t="s">
        <v>2268</v>
      </c>
      <c r="B453" s="3" t="s">
        <v>2269</v>
      </c>
      <c r="C453" s="1" t="s">
        <v>2270</v>
      </c>
      <c r="D453" s="1" t="s">
        <v>2271</v>
      </c>
      <c r="E453" s="4">
        <v>44817.0</v>
      </c>
      <c r="F453" s="5">
        <v>0.5104166666666666</v>
      </c>
      <c r="G453" s="1">
        <v>32721.0</v>
      </c>
      <c r="H453" s="1">
        <v>1599.0</v>
      </c>
      <c r="I453" s="1">
        <v>21.0</v>
      </c>
      <c r="J453" s="3" t="s">
        <v>2272</v>
      </c>
      <c r="K453" s="6">
        <f t="shared" si="1"/>
        <v>4.950948932</v>
      </c>
      <c r="L453" s="7">
        <f t="shared" si="2"/>
        <v>735</v>
      </c>
      <c r="M453" s="8">
        <f t="shared" si="3"/>
        <v>44816</v>
      </c>
      <c r="N453" s="9" t="str">
        <f>IFERROR(__xludf.DUMMYFUNCTION("IFS(
REGEXMATCH(LOWER(A453),""option|options""),""Options Strategy Education"",
REGEXMATCH(LOWER(A453),""bank nifty|nifty|index""),""Index Options"",
REGEXMATCH(LOWER(A453),""algo|api|systematic""),""Algo Trading / API Tutorial"",
REGEXMATCH(LOWER(A453),"&amp;"""groww|mtf|margin|pledge""),""Platform / Groww Feature Tutorial"",
REGEXMATCH(LOWER(A453),""candlestick|chart|price action|trendline|rsi|indicator""),""Technical Analysis / Chart Patterns"",
REGEXMATCH(LOWER(A453),""beginner|guide|start trading""),""Begi"&amp;"nner Trading Education"",
REGEXMATCH(LOWER(A453),""interview|journey|talks|wisdom""),""Expert Interview / Trading Insights"",
REGEXMATCH(LOWER(A453),""risk|loss|drawdown|psychology""),""Trading Psychology / Risk Management"",
REGEXMATCH(LOWER(A453),""comm"&amp;"odity|crude|gold|natural gas""),""Commodity Trading Education"",
TRUE,""General Trading Education""
)
"),"General Trading Education")</f>
        <v>General Trading Education</v>
      </c>
    </row>
    <row r="454" ht="15.75" customHeight="1">
      <c r="A454" s="1" t="s">
        <v>2273</v>
      </c>
      <c r="B454" s="3" t="s">
        <v>2274</v>
      </c>
      <c r="C454" s="1" t="s">
        <v>2275</v>
      </c>
      <c r="D454" s="1" t="s">
        <v>2276</v>
      </c>
      <c r="E454" s="4">
        <v>44816.0</v>
      </c>
      <c r="F454" s="10">
        <v>1.0270833333333333</v>
      </c>
      <c r="G454" s="1">
        <v>32221.0</v>
      </c>
      <c r="H454" s="1">
        <v>1142.0</v>
      </c>
      <c r="I454" s="1">
        <v>20.0</v>
      </c>
      <c r="J454" s="3" t="s">
        <v>2277</v>
      </c>
      <c r="K454" s="6">
        <f t="shared" si="1"/>
        <v>3.606343689</v>
      </c>
      <c r="L454" s="7">
        <f t="shared" si="2"/>
        <v>1479</v>
      </c>
      <c r="M454" s="8">
        <f t="shared" si="3"/>
        <v>44816</v>
      </c>
      <c r="N454" s="9" t="str">
        <f>IFERROR(__xludf.DUMMYFUNCTION("IFS(
REGEXMATCH(LOWER(A454),""option|options""),""Options Strategy Education"",
REGEXMATCH(LOWER(A454),""bank nifty|nifty|index""),""Index Options"",
REGEXMATCH(LOWER(A454),""algo|api|systematic""),""Algo Trading / API Tutorial"",
REGEXMATCH(LOWER(A454),"&amp;"""groww|mtf|margin|pledge""),""Platform / Groww Feature Tutorial"",
REGEXMATCH(LOWER(A454),""candlestick|chart|price action|trendline|rsi|indicator""),""Technical Analysis / Chart Patterns"",
REGEXMATCH(LOWER(A454),""beginner|guide|start trading""),""Begi"&amp;"nner Trading Education"",
REGEXMATCH(LOWER(A454),""interview|journey|talks|wisdom""),""Expert Interview / Trading Insights"",
REGEXMATCH(LOWER(A454),""risk|loss|drawdown|psychology""),""Trading Psychology / Risk Management"",
REGEXMATCH(LOWER(A454),""comm"&amp;"odity|crude|gold|natural gas""),""Commodity Trading Education"",
TRUE,""General Trading Education""
)
"),"Beginner Trading Education")</f>
        <v>Beginner Trading Education</v>
      </c>
    </row>
    <row r="455" ht="15.75" customHeight="1">
      <c r="A455" s="1" t="s">
        <v>2278</v>
      </c>
      <c r="B455" s="3" t="s">
        <v>2279</v>
      </c>
      <c r="C455" s="1" t="s">
        <v>2280</v>
      </c>
      <c r="D455" s="1" t="s">
        <v>2281</v>
      </c>
      <c r="E455" s="4">
        <v>44812.0</v>
      </c>
      <c r="F455" s="5">
        <v>0.5451388888888888</v>
      </c>
      <c r="G455" s="1">
        <v>8059.0</v>
      </c>
      <c r="H455" s="1">
        <v>584.0</v>
      </c>
      <c r="I455" s="1">
        <v>34.0</v>
      </c>
      <c r="J455" s="3" t="s">
        <v>2282</v>
      </c>
      <c r="K455" s="6">
        <f t="shared" si="1"/>
        <v>7.668445217</v>
      </c>
      <c r="L455" s="7">
        <f t="shared" si="2"/>
        <v>785</v>
      </c>
      <c r="M455" s="8">
        <f t="shared" si="3"/>
        <v>44809</v>
      </c>
      <c r="N455" s="9" t="str">
        <f>IFERROR(__xludf.DUMMYFUNCTION("IFS(
REGEXMATCH(LOWER(A455),""option|options""),""Options Strategy Education"",
REGEXMATCH(LOWER(A455),""bank nifty|nifty|index""),""Index Options"",
REGEXMATCH(LOWER(A455),""algo|api|systematic""),""Algo Trading / API Tutorial"",
REGEXMATCH(LOWER(A455),"&amp;"""groww|mtf|margin|pledge""),""Platform / Groww Feature Tutorial"",
REGEXMATCH(LOWER(A455),""candlestick|chart|price action|trendline|rsi|indicator""),""Technical Analysis / Chart Patterns"",
REGEXMATCH(LOWER(A455),""beginner|guide|start trading""),""Begi"&amp;"nner Trading Education"",
REGEXMATCH(LOWER(A455),""interview|journey|talks|wisdom""),""Expert Interview / Trading Insights"",
REGEXMATCH(LOWER(A455),""risk|loss|drawdown|psychology""),""Trading Psychology / Risk Management"",
REGEXMATCH(LOWER(A455),""comm"&amp;"odity|crude|gold|natural gas""),""Commodity Trading Education"",
TRUE,""General Trading Education""
)
"),"General Trading Education")</f>
        <v>General Trading Education</v>
      </c>
    </row>
    <row r="456" ht="15.75" customHeight="1">
      <c r="A456" s="1" t="s">
        <v>2283</v>
      </c>
      <c r="B456" s="3" t="s">
        <v>2284</v>
      </c>
      <c r="C456" s="1" t="s">
        <v>2285</v>
      </c>
      <c r="D456" s="1" t="s">
        <v>2286</v>
      </c>
      <c r="E456" s="4">
        <v>44811.0</v>
      </c>
      <c r="F456" s="5">
        <v>0.7354166666666667</v>
      </c>
      <c r="G456" s="1">
        <v>8209.0</v>
      </c>
      <c r="H456" s="1">
        <v>661.0</v>
      </c>
      <c r="I456" s="1">
        <v>21.0</v>
      </c>
      <c r="J456" s="3" t="s">
        <v>2287</v>
      </c>
      <c r="K456" s="6">
        <f t="shared" si="1"/>
        <v>8.307954684</v>
      </c>
      <c r="L456" s="7">
        <f t="shared" si="2"/>
        <v>1059</v>
      </c>
      <c r="M456" s="8">
        <f t="shared" si="3"/>
        <v>44809</v>
      </c>
      <c r="N456" s="9" t="str">
        <f>IFERROR(__xludf.DUMMYFUNCTION("IFS(
REGEXMATCH(LOWER(A456),""option|options""),""Options Strategy Education"",
REGEXMATCH(LOWER(A456),""bank nifty|nifty|index""),""Index Options"",
REGEXMATCH(LOWER(A456),""algo|api|systematic""),""Algo Trading / API Tutorial"",
REGEXMATCH(LOWER(A456),"&amp;"""groww|mtf|margin|pledge""),""Platform / Groww Feature Tutorial"",
REGEXMATCH(LOWER(A456),""candlestick|chart|price action|trendline|rsi|indicator""),""Technical Analysis / Chart Patterns"",
REGEXMATCH(LOWER(A456),""beginner|guide|start trading""),""Begi"&amp;"nner Trading Education"",
REGEXMATCH(LOWER(A456),""interview|journey|talks|wisdom""),""Expert Interview / Trading Insights"",
REGEXMATCH(LOWER(A456),""risk|loss|drawdown|psychology""),""Trading Psychology / Risk Management"",
REGEXMATCH(LOWER(A456),""comm"&amp;"odity|crude|gold|natural gas""),""Commodity Trading Education"",
TRUE,""General Trading Education""
)
"),"Beginner Trading Education")</f>
        <v>Beginner Trading Education</v>
      </c>
    </row>
    <row r="457" ht="15.75" customHeight="1">
      <c r="A457" s="1" t="s">
        <v>2288</v>
      </c>
      <c r="B457" s="3" t="s">
        <v>2289</v>
      </c>
      <c r="C457" s="1" t="s">
        <v>2290</v>
      </c>
      <c r="D457" s="1" t="s">
        <v>2291</v>
      </c>
      <c r="E457" s="4">
        <v>44810.0</v>
      </c>
      <c r="F457" s="5">
        <v>0.6326388888888889</v>
      </c>
      <c r="G457" s="1">
        <v>26321.0</v>
      </c>
      <c r="H457" s="1">
        <v>1482.0</v>
      </c>
      <c r="I457" s="1">
        <v>40.0</v>
      </c>
      <c r="J457" s="3" t="s">
        <v>2292</v>
      </c>
      <c r="K457" s="6">
        <f t="shared" si="1"/>
        <v>5.782455074</v>
      </c>
      <c r="L457" s="7">
        <f t="shared" si="2"/>
        <v>911</v>
      </c>
      <c r="M457" s="8">
        <f t="shared" si="3"/>
        <v>44809</v>
      </c>
      <c r="N457" s="9" t="str">
        <f>IFERROR(__xludf.DUMMYFUNCTION("IFS(
REGEXMATCH(LOWER(A457),""option|options""),""Options Strategy Education"",
REGEXMATCH(LOWER(A457),""bank nifty|nifty|index""),""Index Options"",
REGEXMATCH(LOWER(A457),""algo|api|systematic""),""Algo Trading / API Tutorial"",
REGEXMATCH(LOWER(A457),"&amp;"""groww|mtf|margin|pledge""),""Platform / Groww Feature Tutorial"",
REGEXMATCH(LOWER(A457),""candlestick|chart|price action|trendline|rsi|indicator""),""Technical Analysis / Chart Patterns"",
REGEXMATCH(LOWER(A457),""beginner|guide|start trading""),""Begi"&amp;"nner Trading Education"",
REGEXMATCH(LOWER(A457),""interview|journey|talks|wisdom""),""Expert Interview / Trading Insights"",
REGEXMATCH(LOWER(A457),""risk|loss|drawdown|psychology""),""Trading Psychology / Risk Management"",
REGEXMATCH(LOWER(A457),""comm"&amp;"odity|crude|gold|natural gas""),""Commodity Trading Education"",
TRUE,""General Trading Education""
)
"),"Beginner Trading Education")</f>
        <v>Beginner Trading Education</v>
      </c>
    </row>
    <row r="458" ht="15.75" customHeight="1">
      <c r="A458" s="1" t="s">
        <v>2293</v>
      </c>
      <c r="B458" s="3" t="s">
        <v>2294</v>
      </c>
      <c r="C458" s="1" t="s">
        <v>2295</v>
      </c>
      <c r="D458" s="1" t="s">
        <v>2296</v>
      </c>
      <c r="E458" s="4">
        <v>44809.0</v>
      </c>
      <c r="F458" s="5">
        <v>0.6284722222222222</v>
      </c>
      <c r="G458" s="1">
        <v>8667.0</v>
      </c>
      <c r="H458" s="1">
        <v>571.0</v>
      </c>
      <c r="I458" s="1">
        <v>29.0</v>
      </c>
      <c r="J458" s="3" t="s">
        <v>2297</v>
      </c>
      <c r="K458" s="6">
        <f t="shared" si="1"/>
        <v>6.922810661</v>
      </c>
      <c r="L458" s="7">
        <f t="shared" si="2"/>
        <v>905</v>
      </c>
      <c r="M458" s="8">
        <f t="shared" si="3"/>
        <v>44809</v>
      </c>
      <c r="N458" s="9" t="str">
        <f>IFERROR(__xludf.DUMMYFUNCTION("IFS(
REGEXMATCH(LOWER(A458),""option|options""),""Options Strategy Education"",
REGEXMATCH(LOWER(A458),""bank nifty|nifty|index""),""Index Options"",
REGEXMATCH(LOWER(A458),""algo|api|systematic""),""Algo Trading / API Tutorial"",
REGEXMATCH(LOWER(A458),"&amp;"""groww|mtf|margin|pledge""),""Platform / Groww Feature Tutorial"",
REGEXMATCH(LOWER(A458),""candlestick|chart|price action|trendline|rsi|indicator""),""Technical Analysis / Chart Patterns"",
REGEXMATCH(LOWER(A458),""beginner|guide|start trading""),""Begi"&amp;"nner Trading Education"",
REGEXMATCH(LOWER(A458),""interview|journey|talks|wisdom""),""Expert Interview / Trading Insights"",
REGEXMATCH(LOWER(A458),""risk|loss|drawdown|psychology""),""Trading Psychology / Risk Management"",
REGEXMATCH(LOWER(A458),""comm"&amp;"odity|crude|gold|natural gas""),""Commodity Trading Education"",
TRUE,""General Trading Education""
)
"),"Technical Analysis / Chart Patterns")</f>
        <v>Technical Analysis / Chart Patterns</v>
      </c>
    </row>
    <row r="459" ht="15.75" customHeight="1">
      <c r="A459" s="1" t="s">
        <v>2298</v>
      </c>
      <c r="B459" s="3" t="s">
        <v>2299</v>
      </c>
      <c r="C459" s="1" t="s">
        <v>2300</v>
      </c>
      <c r="D459" s="1" t="s">
        <v>2301</v>
      </c>
      <c r="E459" s="4">
        <v>44806.0</v>
      </c>
      <c r="F459" s="5">
        <v>0.6756944444444445</v>
      </c>
      <c r="G459" s="1">
        <v>9059.0</v>
      </c>
      <c r="H459" s="1">
        <v>752.0</v>
      </c>
      <c r="I459" s="1">
        <v>35.0</v>
      </c>
      <c r="J459" s="3" t="s">
        <v>2302</v>
      </c>
      <c r="K459" s="6">
        <f t="shared" si="1"/>
        <v>8.687493101</v>
      </c>
      <c r="L459" s="7">
        <f t="shared" si="2"/>
        <v>973</v>
      </c>
      <c r="M459" s="8">
        <f t="shared" si="3"/>
        <v>44802</v>
      </c>
      <c r="N459" s="9" t="str">
        <f>IFERROR(__xludf.DUMMYFUNCTION("IFS(
REGEXMATCH(LOWER(A459),""option|options""),""Options Strategy Education"",
REGEXMATCH(LOWER(A459),""bank nifty|nifty|index""),""Index Options"",
REGEXMATCH(LOWER(A459),""algo|api|systematic""),""Algo Trading / API Tutorial"",
REGEXMATCH(LOWER(A459),"&amp;"""groww|mtf|margin|pledge""),""Platform / Groww Feature Tutorial"",
REGEXMATCH(LOWER(A459),""candlestick|chart|price action|trendline|rsi|indicator""),""Technical Analysis / Chart Patterns"",
REGEXMATCH(LOWER(A459),""beginner|guide|start trading""),""Begi"&amp;"nner Trading Education"",
REGEXMATCH(LOWER(A459),""interview|journey|talks|wisdom""),""Expert Interview / Trading Insights"",
REGEXMATCH(LOWER(A459),""risk|loss|drawdown|psychology""),""Trading Psychology / Risk Management"",
REGEXMATCH(LOWER(A459),""comm"&amp;"odity|crude|gold|natural gas""),""Commodity Trading Education"",
TRUE,""General Trading Education""
)
"),"Beginner Trading Education")</f>
        <v>Beginner Trading Education</v>
      </c>
    </row>
    <row r="460" ht="15.75" customHeight="1">
      <c r="A460" s="1" t="s">
        <v>2303</v>
      </c>
      <c r="B460" s="3" t="s">
        <v>2304</v>
      </c>
      <c r="C460" s="1" t="s">
        <v>2305</v>
      </c>
      <c r="D460" s="1" t="s">
        <v>2306</v>
      </c>
      <c r="E460" s="4">
        <v>44805.0</v>
      </c>
      <c r="F460" s="10">
        <v>1.0368055555555555</v>
      </c>
      <c r="G460" s="1">
        <v>3983.0</v>
      </c>
      <c r="H460" s="1">
        <v>226.0</v>
      </c>
      <c r="I460" s="1">
        <v>16.0</v>
      </c>
      <c r="J460" s="3" t="s">
        <v>2307</v>
      </c>
      <c r="K460" s="6">
        <f t="shared" si="1"/>
        <v>6.075822245</v>
      </c>
      <c r="L460" s="7">
        <f t="shared" si="2"/>
        <v>1493</v>
      </c>
      <c r="M460" s="8">
        <f t="shared" si="3"/>
        <v>44802</v>
      </c>
      <c r="N460" s="9" t="str">
        <f>IFERROR(__xludf.DUMMYFUNCTION("IFS(
REGEXMATCH(LOWER(A460),""option|options""),""Options Strategy Education"",
REGEXMATCH(LOWER(A460),""bank nifty|nifty|index""),""Index Options"",
REGEXMATCH(LOWER(A460),""algo|api|systematic""),""Algo Trading / API Tutorial"",
REGEXMATCH(LOWER(A460),"&amp;"""groww|mtf|margin|pledge""),""Platform / Groww Feature Tutorial"",
REGEXMATCH(LOWER(A460),""candlestick|chart|price action|trendline|rsi|indicator""),""Technical Analysis / Chart Patterns"",
REGEXMATCH(LOWER(A460),""beginner|guide|start trading""),""Begi"&amp;"nner Trading Education"",
REGEXMATCH(LOWER(A460),""interview|journey|talks|wisdom""),""Expert Interview / Trading Insights"",
REGEXMATCH(LOWER(A460),""risk|loss|drawdown|psychology""),""Trading Psychology / Risk Management"",
REGEXMATCH(LOWER(A460),""comm"&amp;"odity|crude|gold|natural gas""),""Commodity Trading Education"",
TRUE,""General Trading Education""
)
"),"General Trading Education")</f>
        <v>General Trading Education</v>
      </c>
    </row>
    <row r="461" ht="15.75" customHeight="1">
      <c r="A461" s="1" t="s">
        <v>2308</v>
      </c>
      <c r="B461" s="3" t="s">
        <v>2309</v>
      </c>
      <c r="C461" s="1" t="s">
        <v>2310</v>
      </c>
      <c r="D461" s="1" t="s">
        <v>2311</v>
      </c>
      <c r="E461" s="4">
        <v>44804.0</v>
      </c>
      <c r="F461" s="10">
        <v>2.25</v>
      </c>
      <c r="G461" s="1">
        <v>5813.0</v>
      </c>
      <c r="H461" s="1">
        <v>230.0</v>
      </c>
      <c r="I461" s="1">
        <v>9.0</v>
      </c>
      <c r="J461" s="3" t="s">
        <v>2312</v>
      </c>
      <c r="K461" s="6">
        <f t="shared" si="1"/>
        <v>4.111474282</v>
      </c>
      <c r="L461" s="7">
        <f t="shared" si="2"/>
        <v>3240</v>
      </c>
      <c r="M461" s="8">
        <f t="shared" si="3"/>
        <v>44802</v>
      </c>
      <c r="N461" s="9" t="str">
        <f>IFERROR(__xludf.DUMMYFUNCTION("IFS(
REGEXMATCH(LOWER(A461),""option|options""),""Options Strategy Education"",
REGEXMATCH(LOWER(A461),""bank nifty|nifty|index""),""Index Options"",
REGEXMATCH(LOWER(A461),""algo|api|systematic""),""Algo Trading / API Tutorial"",
REGEXMATCH(LOWER(A461),"&amp;"""groww|mtf|margin|pledge""),""Platform / Groww Feature Tutorial"",
REGEXMATCH(LOWER(A461),""candlestick|chart|price action|trendline|rsi|indicator""),""Technical Analysis / Chart Patterns"",
REGEXMATCH(LOWER(A461),""beginner|guide|start trading""),""Begi"&amp;"nner Trading Education"",
REGEXMATCH(LOWER(A461),""interview|journey|talks|wisdom""),""Expert Interview / Trading Insights"",
REGEXMATCH(LOWER(A461),""risk|loss|drawdown|psychology""),""Trading Psychology / Risk Management"",
REGEXMATCH(LOWER(A461),""comm"&amp;"odity|crude|gold|natural gas""),""Commodity Trading Education"",
TRUE,""General Trading Education""
)
"),"Expert Interview / Trading Insights")</f>
        <v>Expert Interview / Trading Insights</v>
      </c>
    </row>
    <row r="462" ht="15.75" customHeight="1">
      <c r="A462" s="1" t="s">
        <v>2313</v>
      </c>
      <c r="B462" s="3" t="s">
        <v>2314</v>
      </c>
      <c r="C462" s="1" t="s">
        <v>2315</v>
      </c>
      <c r="D462" s="1" t="s">
        <v>2316</v>
      </c>
      <c r="E462" s="4">
        <v>44803.0</v>
      </c>
      <c r="F462" s="5">
        <v>0.9840277777777777</v>
      </c>
      <c r="G462" s="1">
        <v>46363.0</v>
      </c>
      <c r="H462" s="1">
        <v>1746.0</v>
      </c>
      <c r="I462" s="1">
        <v>50.0</v>
      </c>
      <c r="J462" s="3" t="s">
        <v>2317</v>
      </c>
      <c r="K462" s="6">
        <f t="shared" si="1"/>
        <v>3.87377866</v>
      </c>
      <c r="L462" s="7">
        <f t="shared" si="2"/>
        <v>1417</v>
      </c>
      <c r="M462" s="8">
        <f t="shared" si="3"/>
        <v>44802</v>
      </c>
      <c r="N462" s="9" t="str">
        <f>IFERROR(__xludf.DUMMYFUNCTION("IFS(
REGEXMATCH(LOWER(A462),""option|options""),""Options Strategy Education"",
REGEXMATCH(LOWER(A462),""bank nifty|nifty|index""),""Index Options"",
REGEXMATCH(LOWER(A462),""algo|api|systematic""),""Algo Trading / API Tutorial"",
REGEXMATCH(LOWER(A462),"&amp;"""groww|mtf|margin|pledge""),""Platform / Groww Feature Tutorial"",
REGEXMATCH(LOWER(A462),""candlestick|chart|price action|trendline|rsi|indicator""),""Technical Analysis / Chart Patterns"",
REGEXMATCH(LOWER(A462),""beginner|guide|start trading""),""Begi"&amp;"nner Trading Education"",
REGEXMATCH(LOWER(A462),""interview|journey|talks|wisdom""),""Expert Interview / Trading Insights"",
REGEXMATCH(LOWER(A462),""risk|loss|drawdown|psychology""),""Trading Psychology / Risk Management"",
REGEXMATCH(LOWER(A462),""comm"&amp;"odity|crude|gold|natural gas""),""Commodity Trading Education"",
TRUE,""General Trading Education""
)
"),"Technical Analysis / Chart Patterns")</f>
        <v>Technical Analysis / Chart Patterns</v>
      </c>
    </row>
    <row r="463" ht="15.75" customHeight="1">
      <c r="A463" s="1" t="s">
        <v>2318</v>
      </c>
      <c r="B463" s="3" t="s">
        <v>2319</v>
      </c>
      <c r="C463" s="1" t="s">
        <v>2320</v>
      </c>
      <c r="D463" s="1" t="s">
        <v>2321</v>
      </c>
      <c r="E463" s="4">
        <v>44802.0</v>
      </c>
      <c r="F463" s="10">
        <v>1.3145833333333334</v>
      </c>
      <c r="G463" s="1">
        <v>76848.0</v>
      </c>
      <c r="H463" s="1">
        <v>3013.0</v>
      </c>
      <c r="I463" s="1">
        <v>140.0</v>
      </c>
      <c r="J463" s="3" t="s">
        <v>2322</v>
      </c>
      <c r="K463" s="6">
        <f t="shared" si="1"/>
        <v>4.102904435</v>
      </c>
      <c r="L463" s="7">
        <f t="shared" si="2"/>
        <v>1893</v>
      </c>
      <c r="M463" s="8">
        <f t="shared" si="3"/>
        <v>44802</v>
      </c>
      <c r="N463" s="9" t="str">
        <f>IFERROR(__xludf.DUMMYFUNCTION("IFS(
REGEXMATCH(LOWER(A463),""option|options""),""Options Strategy Education"",
REGEXMATCH(LOWER(A463),""bank nifty|nifty|index""),""Index Options"",
REGEXMATCH(LOWER(A463),""algo|api|systematic""),""Algo Trading / API Tutorial"",
REGEXMATCH(LOWER(A463),"&amp;"""groww|mtf|margin|pledge""),""Platform / Groww Feature Tutorial"",
REGEXMATCH(LOWER(A463),""candlestick|chart|price action|trendline|rsi|indicator""),""Technical Analysis / Chart Patterns"",
REGEXMATCH(LOWER(A463),""beginner|guide|start trading""),""Begi"&amp;"nner Trading Education"",
REGEXMATCH(LOWER(A463),""interview|journey|talks|wisdom""),""Expert Interview / Trading Insights"",
REGEXMATCH(LOWER(A463),""risk|loss|drawdown|psychology""),""Trading Psychology / Risk Management"",
REGEXMATCH(LOWER(A463),""comm"&amp;"odity|crude|gold|natural gas""),""Commodity Trading Education"",
TRUE,""General Trading Education""
)
"),"Beginner Trading Education")</f>
        <v>Beginner Trading Education</v>
      </c>
    </row>
    <row r="464" ht="15.75" customHeight="1">
      <c r="A464" s="1" t="s">
        <v>2323</v>
      </c>
      <c r="B464" s="3" t="s">
        <v>2324</v>
      </c>
      <c r="C464" s="1" t="s">
        <v>2325</v>
      </c>
      <c r="D464" s="1" t="s">
        <v>2326</v>
      </c>
      <c r="E464" s="4">
        <v>44801.0</v>
      </c>
      <c r="F464" s="10">
        <v>2.359722222222222</v>
      </c>
      <c r="G464" s="1">
        <v>3025.0</v>
      </c>
      <c r="H464" s="1">
        <v>83.0</v>
      </c>
      <c r="I464" s="1">
        <v>7.0</v>
      </c>
      <c r="J464" s="3" t="s">
        <v>2327</v>
      </c>
      <c r="K464" s="6">
        <f t="shared" si="1"/>
        <v>2.975206612</v>
      </c>
      <c r="L464" s="7">
        <f t="shared" si="2"/>
        <v>3398</v>
      </c>
      <c r="M464" s="8">
        <f t="shared" si="3"/>
        <v>44795</v>
      </c>
      <c r="N464" s="9" t="str">
        <f>IFERROR(__xludf.DUMMYFUNCTION("IFS(
REGEXMATCH(LOWER(A464),""option|options""),""Options Strategy Education"",
REGEXMATCH(LOWER(A464),""bank nifty|nifty|index""),""Index Options"",
REGEXMATCH(LOWER(A464),""algo|api|systematic""),""Algo Trading / API Tutorial"",
REGEXMATCH(LOWER(A464),"&amp;"""groww|mtf|margin|pledge""),""Platform / Groww Feature Tutorial"",
REGEXMATCH(LOWER(A464),""candlestick|chart|price action|trendline|rsi|indicator""),""Technical Analysis / Chart Patterns"",
REGEXMATCH(LOWER(A464),""beginner|guide|start trading""),""Begi"&amp;"nner Trading Education"",
REGEXMATCH(LOWER(A464),""interview|journey|talks|wisdom""),""Expert Interview / Trading Insights"",
REGEXMATCH(LOWER(A464),""risk|loss|drawdown|psychology""),""Trading Psychology / Risk Management"",
REGEXMATCH(LOWER(A464),""comm"&amp;"odity|crude|gold|natural gas""),""Commodity Trading Education"",
TRUE,""General Trading Education""
)
"),"General Trading Education")</f>
        <v>General Trading Education</v>
      </c>
    </row>
    <row r="465" ht="15.75" customHeight="1">
      <c r="A465" s="1" t="s">
        <v>2328</v>
      </c>
      <c r="B465" s="3" t="s">
        <v>2329</v>
      </c>
      <c r="C465" s="1" t="s">
        <v>2330</v>
      </c>
      <c r="D465" s="1" t="s">
        <v>2331</v>
      </c>
      <c r="E465" s="4">
        <v>44799.0</v>
      </c>
      <c r="F465" s="5">
        <v>0.8583333333333333</v>
      </c>
      <c r="G465" s="1">
        <v>29739.0</v>
      </c>
      <c r="H465" s="1">
        <v>1176.0</v>
      </c>
      <c r="I465" s="1">
        <v>47.0</v>
      </c>
      <c r="J465" s="3" t="s">
        <v>2332</v>
      </c>
      <c r="K465" s="6">
        <f t="shared" si="1"/>
        <v>4.112444938</v>
      </c>
      <c r="L465" s="7">
        <f t="shared" si="2"/>
        <v>1236</v>
      </c>
      <c r="M465" s="8">
        <f t="shared" si="3"/>
        <v>44795</v>
      </c>
      <c r="N465" s="9" t="str">
        <f>IFERROR(__xludf.DUMMYFUNCTION("IFS(
REGEXMATCH(LOWER(A465),""option|options""),""Options Strategy Education"",
REGEXMATCH(LOWER(A465),""bank nifty|nifty|index""),""Index Options"",
REGEXMATCH(LOWER(A465),""algo|api|systematic""),""Algo Trading / API Tutorial"",
REGEXMATCH(LOWER(A465),"&amp;"""groww|mtf|margin|pledge""),""Platform / Groww Feature Tutorial"",
REGEXMATCH(LOWER(A465),""candlestick|chart|price action|trendline|rsi|indicator""),""Technical Analysis / Chart Patterns"",
REGEXMATCH(LOWER(A465),""beginner|guide|start trading""),""Begi"&amp;"nner Trading Education"",
REGEXMATCH(LOWER(A465),""interview|journey|talks|wisdom""),""Expert Interview / Trading Insights"",
REGEXMATCH(LOWER(A465),""risk|loss|drawdown|psychology""),""Trading Psychology / Risk Management"",
REGEXMATCH(LOWER(A465),""comm"&amp;"odity|crude|gold|natural gas""),""Commodity Trading Education"",
TRUE,""General Trading Education""
)
"),"General Trading Education")</f>
        <v>General Trading Education</v>
      </c>
    </row>
    <row r="466" ht="15.75" customHeight="1">
      <c r="A466" s="1" t="s">
        <v>2333</v>
      </c>
      <c r="B466" s="3" t="s">
        <v>2334</v>
      </c>
      <c r="C466" s="1" t="s">
        <v>2335</v>
      </c>
      <c r="D466" s="1" t="s">
        <v>2336</v>
      </c>
      <c r="E466" s="4">
        <v>44798.0</v>
      </c>
      <c r="F466" s="5">
        <v>0.7638888888888888</v>
      </c>
      <c r="G466" s="1">
        <v>11212.0</v>
      </c>
      <c r="H466" s="1">
        <v>525.0</v>
      </c>
      <c r="I466" s="1">
        <v>30.0</v>
      </c>
      <c r="J466" s="3" t="s">
        <v>2337</v>
      </c>
      <c r="K466" s="6">
        <f t="shared" si="1"/>
        <v>4.950053514</v>
      </c>
      <c r="L466" s="7">
        <f t="shared" si="2"/>
        <v>1100</v>
      </c>
      <c r="M466" s="8">
        <f t="shared" si="3"/>
        <v>44795</v>
      </c>
      <c r="N466" s="9" t="str">
        <f>IFERROR(__xludf.DUMMYFUNCTION("IFS(
REGEXMATCH(LOWER(A466),""option|options""),""Options Strategy Education"",
REGEXMATCH(LOWER(A466),""bank nifty|nifty|index""),""Index Options"",
REGEXMATCH(LOWER(A466),""algo|api|systematic""),""Algo Trading / API Tutorial"",
REGEXMATCH(LOWER(A466),"&amp;"""groww|mtf|margin|pledge""),""Platform / Groww Feature Tutorial"",
REGEXMATCH(LOWER(A466),""candlestick|chart|price action|trendline|rsi|indicator""),""Technical Analysis / Chart Patterns"",
REGEXMATCH(LOWER(A466),""beginner|guide|start trading""),""Begi"&amp;"nner Trading Education"",
REGEXMATCH(LOWER(A466),""interview|journey|talks|wisdom""),""Expert Interview / Trading Insights"",
REGEXMATCH(LOWER(A466),""risk|loss|drawdown|psychology""),""Trading Psychology / Risk Management"",
REGEXMATCH(LOWER(A466),""comm"&amp;"odity|crude|gold|natural gas""),""Commodity Trading Education"",
TRUE,""General Trading Education""
)
"),"Options Strategy Education")</f>
        <v>Options Strategy Education</v>
      </c>
    </row>
    <row r="467" ht="15.75" customHeight="1">
      <c r="A467" s="1" t="s">
        <v>2338</v>
      </c>
      <c r="B467" s="3" t="s">
        <v>2339</v>
      </c>
      <c r="C467" s="1" t="s">
        <v>2340</v>
      </c>
      <c r="D467" s="1" t="s">
        <v>2341</v>
      </c>
      <c r="E467" s="4">
        <v>44797.0</v>
      </c>
      <c r="F467" s="5">
        <v>0.8</v>
      </c>
      <c r="G467" s="1">
        <v>8365.0</v>
      </c>
      <c r="H467" s="1">
        <v>623.0</v>
      </c>
      <c r="I467" s="1">
        <v>25.0</v>
      </c>
      <c r="J467" s="3" t="s">
        <v>2342</v>
      </c>
      <c r="K467" s="6">
        <f t="shared" si="1"/>
        <v>7.74656306</v>
      </c>
      <c r="L467" s="7">
        <f t="shared" si="2"/>
        <v>1152</v>
      </c>
      <c r="M467" s="8">
        <f t="shared" si="3"/>
        <v>44795</v>
      </c>
      <c r="N467" s="9" t="str">
        <f>IFERROR(__xludf.DUMMYFUNCTION("IFS(
REGEXMATCH(LOWER(A467),""option|options""),""Options Strategy Education"",
REGEXMATCH(LOWER(A467),""bank nifty|nifty|index""),""Index Options"",
REGEXMATCH(LOWER(A467),""algo|api|systematic""),""Algo Trading / API Tutorial"",
REGEXMATCH(LOWER(A467),"&amp;"""groww|mtf|margin|pledge""),""Platform / Groww Feature Tutorial"",
REGEXMATCH(LOWER(A467),""candlestick|chart|price action|trendline|rsi|indicator""),""Technical Analysis / Chart Patterns"",
REGEXMATCH(LOWER(A467),""beginner|guide|start trading""),""Begi"&amp;"nner Trading Education"",
REGEXMATCH(LOWER(A467),""interview|journey|talks|wisdom""),""Expert Interview / Trading Insights"",
REGEXMATCH(LOWER(A467),""risk|loss|drawdown|psychology""),""Trading Psychology / Risk Management"",
REGEXMATCH(LOWER(A467),""comm"&amp;"odity|crude|gold|natural gas""),""Commodity Trading Education"",
TRUE,""General Trading Education""
)
"),"Technical Analysis / Chart Patterns")</f>
        <v>Technical Analysis / Chart Patterns</v>
      </c>
    </row>
    <row r="468" ht="15.75" customHeight="1">
      <c r="A468" s="1" t="s">
        <v>2343</v>
      </c>
      <c r="B468" s="3" t="s">
        <v>2344</v>
      </c>
      <c r="C468" s="1" t="s">
        <v>2345</v>
      </c>
      <c r="D468" s="1" t="s">
        <v>2346</v>
      </c>
      <c r="E468" s="4">
        <v>44796.0</v>
      </c>
      <c r="F468" s="5">
        <v>0.9819444444444444</v>
      </c>
      <c r="G468" s="1">
        <v>10107.0</v>
      </c>
      <c r="H468" s="1">
        <v>462.0</v>
      </c>
      <c r="I468" s="1">
        <v>26.0</v>
      </c>
      <c r="J468" s="3" t="s">
        <v>2347</v>
      </c>
      <c r="K468" s="6">
        <f t="shared" si="1"/>
        <v>4.828336796</v>
      </c>
      <c r="L468" s="7">
        <f t="shared" si="2"/>
        <v>1414</v>
      </c>
      <c r="M468" s="8">
        <f t="shared" si="3"/>
        <v>44795</v>
      </c>
      <c r="N468" s="9" t="str">
        <f>IFERROR(__xludf.DUMMYFUNCTION("IFS(
REGEXMATCH(LOWER(A468),""option|options""),""Options Strategy Education"",
REGEXMATCH(LOWER(A468),""bank nifty|nifty|index""),""Index Options"",
REGEXMATCH(LOWER(A468),""algo|api|systematic""),""Algo Trading / API Tutorial"",
REGEXMATCH(LOWER(A468),"&amp;"""groww|mtf|margin|pledge""),""Platform / Groww Feature Tutorial"",
REGEXMATCH(LOWER(A468),""candlestick|chart|price action|trendline|rsi|indicator""),""Technical Analysis / Chart Patterns"",
REGEXMATCH(LOWER(A468),""beginner|guide|start trading""),""Begi"&amp;"nner Trading Education"",
REGEXMATCH(LOWER(A468),""interview|journey|talks|wisdom""),""Expert Interview / Trading Insights"",
REGEXMATCH(LOWER(A468),""risk|loss|drawdown|psychology""),""Trading Psychology / Risk Management"",
REGEXMATCH(LOWER(A468),""comm"&amp;"odity|crude|gold|natural gas""),""Commodity Trading Education"",
TRUE,""General Trading Education""
)
"),"General Trading Education")</f>
        <v>General Trading Education</v>
      </c>
    </row>
    <row r="469" ht="15.75" customHeight="1">
      <c r="A469" s="1" t="s">
        <v>2348</v>
      </c>
      <c r="B469" s="3" t="s">
        <v>2349</v>
      </c>
      <c r="C469" s="1" t="s">
        <v>2350</v>
      </c>
      <c r="D469" s="1" t="s">
        <v>2351</v>
      </c>
      <c r="E469" s="4">
        <v>44792.0</v>
      </c>
      <c r="F469" s="5">
        <v>0.7652777777777777</v>
      </c>
      <c r="G469" s="1">
        <v>24211.0</v>
      </c>
      <c r="H469" s="1">
        <v>1050.0</v>
      </c>
      <c r="I469" s="1">
        <v>40.0</v>
      </c>
      <c r="J469" s="3" t="s">
        <v>2352</v>
      </c>
      <c r="K469" s="6">
        <f t="shared" si="1"/>
        <v>4.502085829</v>
      </c>
      <c r="L469" s="7">
        <f t="shared" si="2"/>
        <v>1102</v>
      </c>
      <c r="M469" s="8">
        <f t="shared" si="3"/>
        <v>44788</v>
      </c>
      <c r="N469" s="9" t="str">
        <f>IFERROR(__xludf.DUMMYFUNCTION("IFS(
REGEXMATCH(LOWER(A469),""option|options""),""Options Strategy Education"",
REGEXMATCH(LOWER(A469),""bank nifty|nifty|index""),""Index Options"",
REGEXMATCH(LOWER(A469),""algo|api|systematic""),""Algo Trading / API Tutorial"",
REGEXMATCH(LOWER(A469),"&amp;"""groww|mtf|margin|pledge""),""Platform / Groww Feature Tutorial"",
REGEXMATCH(LOWER(A469),""candlestick|chart|price action|trendline|rsi|indicator""),""Technical Analysis / Chart Patterns"",
REGEXMATCH(LOWER(A469),""beginner|guide|start trading""),""Begi"&amp;"nner Trading Education"",
REGEXMATCH(LOWER(A469),""interview|journey|talks|wisdom""),""Expert Interview / Trading Insights"",
REGEXMATCH(LOWER(A469),""risk|loss|drawdown|psychology""),""Trading Psychology / Risk Management"",
REGEXMATCH(LOWER(A469),""comm"&amp;"odity|crude|gold|natural gas""),""Commodity Trading Education"",
TRUE,""General Trading Education""
)
"),"Index Options")</f>
        <v>Index Options</v>
      </c>
    </row>
    <row r="470" ht="15.75" customHeight="1">
      <c r="A470" s="1" t="s">
        <v>2353</v>
      </c>
      <c r="B470" s="3" t="s">
        <v>2354</v>
      </c>
      <c r="C470" s="1" t="s">
        <v>2355</v>
      </c>
      <c r="D470" s="1" t="s">
        <v>2356</v>
      </c>
      <c r="E470" s="4">
        <v>44791.0</v>
      </c>
      <c r="F470" s="10">
        <v>1.0159722222222223</v>
      </c>
      <c r="G470" s="1">
        <v>51970.0</v>
      </c>
      <c r="H470" s="1">
        <v>2354.0</v>
      </c>
      <c r="I470" s="1">
        <v>64.0</v>
      </c>
      <c r="J470" s="3" t="s">
        <v>2357</v>
      </c>
      <c r="K470" s="6">
        <f t="shared" si="1"/>
        <v>4.652684241</v>
      </c>
      <c r="L470" s="7">
        <f t="shared" si="2"/>
        <v>1463</v>
      </c>
      <c r="M470" s="8">
        <f t="shared" si="3"/>
        <v>44788</v>
      </c>
      <c r="N470" s="9" t="str">
        <f>IFERROR(__xludf.DUMMYFUNCTION("IFS(
REGEXMATCH(LOWER(A470),""option|options""),""Options Strategy Education"",
REGEXMATCH(LOWER(A470),""bank nifty|nifty|index""),""Index Options"",
REGEXMATCH(LOWER(A470),""algo|api|systematic""),""Algo Trading / API Tutorial"",
REGEXMATCH(LOWER(A470),"&amp;"""groww|mtf|margin|pledge""),""Platform / Groww Feature Tutorial"",
REGEXMATCH(LOWER(A470),""candlestick|chart|price action|trendline|rsi|indicator""),""Technical Analysis / Chart Patterns"",
REGEXMATCH(LOWER(A470),""beginner|guide|start trading""),""Begi"&amp;"nner Trading Education"",
REGEXMATCH(LOWER(A470),""interview|journey|talks|wisdom""),""Expert Interview / Trading Insights"",
REGEXMATCH(LOWER(A470),""risk|loss|drawdown|psychology""),""Trading Psychology / Risk Management"",
REGEXMATCH(LOWER(A470),""comm"&amp;"odity|crude|gold|natural gas""),""Commodity Trading Education"",
TRUE,""General Trading Education""
)
"),"Options Strategy Education")</f>
        <v>Options Strategy Education</v>
      </c>
    </row>
    <row r="471" ht="15.75" customHeight="1">
      <c r="A471" s="1" t="s">
        <v>2358</v>
      </c>
      <c r="B471" s="3" t="s">
        <v>2359</v>
      </c>
      <c r="C471" s="1" t="s">
        <v>2360</v>
      </c>
      <c r="D471" s="1" t="s">
        <v>2361</v>
      </c>
      <c r="E471" s="4">
        <v>44790.0</v>
      </c>
      <c r="F471" s="5">
        <v>0.4618055555555556</v>
      </c>
      <c r="G471" s="1">
        <v>21878.0</v>
      </c>
      <c r="H471" s="1">
        <v>1047.0</v>
      </c>
      <c r="I471" s="1">
        <v>40.0</v>
      </c>
      <c r="J471" s="3" t="s">
        <v>2362</v>
      </c>
      <c r="K471" s="6">
        <f t="shared" si="1"/>
        <v>4.968461468</v>
      </c>
      <c r="L471" s="7">
        <f t="shared" si="2"/>
        <v>665</v>
      </c>
      <c r="M471" s="8">
        <f t="shared" si="3"/>
        <v>44788</v>
      </c>
      <c r="N471" s="9" t="str">
        <f>IFERROR(__xludf.DUMMYFUNCTION("IFS(
REGEXMATCH(LOWER(A471),""option|options""),""Options Strategy Education"",
REGEXMATCH(LOWER(A471),""bank nifty|nifty|index""),""Index Options"",
REGEXMATCH(LOWER(A471),""algo|api|systematic""),""Algo Trading / API Tutorial"",
REGEXMATCH(LOWER(A471),"&amp;"""groww|mtf|margin|pledge""),""Platform / Groww Feature Tutorial"",
REGEXMATCH(LOWER(A471),""candlestick|chart|price action|trendline|rsi|indicator""),""Technical Analysis / Chart Patterns"",
REGEXMATCH(LOWER(A471),""beginner|guide|start trading""),""Begi"&amp;"nner Trading Education"",
REGEXMATCH(LOWER(A471),""interview|journey|talks|wisdom""),""Expert Interview / Trading Insights"",
REGEXMATCH(LOWER(A471),""risk|loss|drawdown|psychology""),""Trading Psychology / Risk Management"",
REGEXMATCH(LOWER(A471),""comm"&amp;"odity|crude|gold|natural gas""),""Commodity Trading Education"",
TRUE,""General Trading Education""
)
"),"General Trading Education")</f>
        <v>General Trading Education</v>
      </c>
    </row>
    <row r="472" ht="15.75" customHeight="1">
      <c r="A472" s="1" t="s">
        <v>2363</v>
      </c>
      <c r="B472" s="3" t="s">
        <v>2364</v>
      </c>
      <c r="C472" s="1" t="s">
        <v>2365</v>
      </c>
      <c r="D472" s="1" t="s">
        <v>2366</v>
      </c>
      <c r="E472" s="4">
        <v>44789.0</v>
      </c>
      <c r="F472" s="10">
        <v>1.3652777777777778</v>
      </c>
      <c r="G472" s="1">
        <v>22624.0</v>
      </c>
      <c r="H472" s="1">
        <v>881.0</v>
      </c>
      <c r="I472" s="1">
        <v>45.0</v>
      </c>
      <c r="J472" s="3" t="s">
        <v>2367</v>
      </c>
      <c r="K472" s="6">
        <f t="shared" si="1"/>
        <v>4.092998586</v>
      </c>
      <c r="L472" s="7">
        <f t="shared" si="2"/>
        <v>1966</v>
      </c>
      <c r="M472" s="8">
        <f t="shared" si="3"/>
        <v>44788</v>
      </c>
      <c r="N472" s="9" t="str">
        <f>IFERROR(__xludf.DUMMYFUNCTION("IFS(
REGEXMATCH(LOWER(A472),""option|options""),""Options Strategy Education"",
REGEXMATCH(LOWER(A472),""bank nifty|nifty|index""),""Index Options"",
REGEXMATCH(LOWER(A472),""algo|api|systematic""),""Algo Trading / API Tutorial"",
REGEXMATCH(LOWER(A472),"&amp;"""groww|mtf|margin|pledge""),""Platform / Groww Feature Tutorial"",
REGEXMATCH(LOWER(A472),""candlestick|chart|price action|trendline|rsi|indicator""),""Technical Analysis / Chart Patterns"",
REGEXMATCH(LOWER(A472),""beginner|guide|start trading""),""Begi"&amp;"nner Trading Education"",
REGEXMATCH(LOWER(A472),""interview|journey|talks|wisdom""),""Expert Interview / Trading Insights"",
REGEXMATCH(LOWER(A472),""risk|loss|drawdown|psychology""),""Trading Psychology / Risk Management"",
REGEXMATCH(LOWER(A472),""comm"&amp;"odity|crude|gold|natural gas""),""Commodity Trading Education"",
TRUE,""General Trading Education""
)
"),"Technical Analysis / Chart Patterns")</f>
        <v>Technical Analysis / Chart Patterns</v>
      </c>
    </row>
    <row r="473" ht="15.75" customHeight="1">
      <c r="A473" s="1" t="s">
        <v>2368</v>
      </c>
      <c r="B473" s="3" t="s">
        <v>2369</v>
      </c>
      <c r="C473" s="1" t="s">
        <v>2370</v>
      </c>
      <c r="D473" s="1" t="s">
        <v>2371</v>
      </c>
      <c r="E473" s="4">
        <v>44785.0</v>
      </c>
      <c r="F473" s="5">
        <v>0.6625</v>
      </c>
      <c r="G473" s="1">
        <v>16952.0</v>
      </c>
      <c r="H473" s="1">
        <v>673.0</v>
      </c>
      <c r="I473" s="1">
        <v>28.0</v>
      </c>
      <c r="J473" s="3" t="s">
        <v>2372</v>
      </c>
      <c r="K473" s="6">
        <f t="shared" si="1"/>
        <v>4.135205286</v>
      </c>
      <c r="L473" s="7">
        <f t="shared" si="2"/>
        <v>954</v>
      </c>
      <c r="M473" s="8">
        <f t="shared" si="3"/>
        <v>44781</v>
      </c>
      <c r="N473" s="9" t="str">
        <f>IFERROR(__xludf.DUMMYFUNCTION("IFS(
REGEXMATCH(LOWER(A473),""option|options""),""Options Strategy Education"",
REGEXMATCH(LOWER(A473),""bank nifty|nifty|index""),""Index Options"",
REGEXMATCH(LOWER(A473),""algo|api|systematic""),""Algo Trading / API Tutorial"",
REGEXMATCH(LOWER(A473),"&amp;"""groww|mtf|margin|pledge""),""Platform / Groww Feature Tutorial"",
REGEXMATCH(LOWER(A473),""candlestick|chart|price action|trendline|rsi|indicator""),""Technical Analysis / Chart Patterns"",
REGEXMATCH(LOWER(A473),""beginner|guide|start trading""),""Begi"&amp;"nner Trading Education"",
REGEXMATCH(LOWER(A473),""interview|journey|talks|wisdom""),""Expert Interview / Trading Insights"",
REGEXMATCH(LOWER(A473),""risk|loss|drawdown|psychology""),""Trading Psychology / Risk Management"",
REGEXMATCH(LOWER(A473),""comm"&amp;"odity|crude|gold|natural gas""),""Commodity Trading Education"",
TRUE,""General Trading Education""
)
"),"Options Strategy Education")</f>
        <v>Options Strategy Education</v>
      </c>
    </row>
    <row r="474" ht="15.75" customHeight="1">
      <c r="A474" s="1" t="s">
        <v>2373</v>
      </c>
      <c r="B474" s="3" t="s">
        <v>2374</v>
      </c>
      <c r="C474" s="1" t="s">
        <v>2375</v>
      </c>
      <c r="D474" s="1" t="s">
        <v>2376</v>
      </c>
      <c r="E474" s="4">
        <v>44784.0</v>
      </c>
      <c r="F474" s="5">
        <v>0.96875</v>
      </c>
      <c r="G474" s="1">
        <v>14570.0</v>
      </c>
      <c r="H474" s="1">
        <v>730.0</v>
      </c>
      <c r="I474" s="1">
        <v>16.0</v>
      </c>
      <c r="J474" s="3" t="s">
        <v>2377</v>
      </c>
      <c r="K474" s="6">
        <f t="shared" si="1"/>
        <v>5.120109815</v>
      </c>
      <c r="L474" s="7">
        <f t="shared" si="2"/>
        <v>1395</v>
      </c>
      <c r="M474" s="8">
        <f t="shared" si="3"/>
        <v>44781</v>
      </c>
      <c r="N474" s="9" t="str">
        <f>IFERROR(__xludf.DUMMYFUNCTION("IFS(
REGEXMATCH(LOWER(A474),""option|options""),""Options Strategy Education"",
REGEXMATCH(LOWER(A474),""bank nifty|nifty|index""),""Index Options"",
REGEXMATCH(LOWER(A474),""algo|api|systematic""),""Algo Trading / API Tutorial"",
REGEXMATCH(LOWER(A474),"&amp;"""groww|mtf|margin|pledge""),""Platform / Groww Feature Tutorial"",
REGEXMATCH(LOWER(A474),""candlestick|chart|price action|trendline|rsi|indicator""),""Technical Analysis / Chart Patterns"",
REGEXMATCH(LOWER(A474),""beginner|guide|start trading""),""Begi"&amp;"nner Trading Education"",
REGEXMATCH(LOWER(A474),""interview|journey|talks|wisdom""),""Expert Interview / Trading Insights"",
REGEXMATCH(LOWER(A474),""risk|loss|drawdown|psychology""),""Trading Psychology / Risk Management"",
REGEXMATCH(LOWER(A474),""comm"&amp;"odity|crude|gold|natural gas""),""Commodity Trading Education"",
TRUE,""General Trading Education""
)
"),"General Trading Education")</f>
        <v>General Trading Education</v>
      </c>
    </row>
    <row r="475" ht="15.75" customHeight="1">
      <c r="A475" s="1" t="s">
        <v>2378</v>
      </c>
      <c r="B475" s="3" t="s">
        <v>2379</v>
      </c>
      <c r="C475" s="1" t="s">
        <v>2380</v>
      </c>
      <c r="D475" s="1" t="s">
        <v>2381</v>
      </c>
      <c r="E475" s="4">
        <v>44783.0</v>
      </c>
      <c r="F475" s="5">
        <v>0.3763888888888889</v>
      </c>
      <c r="G475" s="1">
        <v>59876.0</v>
      </c>
      <c r="H475" s="1">
        <v>1254.0</v>
      </c>
      <c r="I475" s="1">
        <v>233.0</v>
      </c>
      <c r="J475" s="3" t="s">
        <v>2382</v>
      </c>
      <c r="K475" s="6">
        <f t="shared" si="1"/>
        <v>2.483465829</v>
      </c>
      <c r="L475" s="7">
        <f t="shared" si="2"/>
        <v>542</v>
      </c>
      <c r="M475" s="8">
        <f t="shared" si="3"/>
        <v>44781</v>
      </c>
      <c r="N475" s="9" t="str">
        <f>IFERROR(__xludf.DUMMYFUNCTION("IFS(
REGEXMATCH(LOWER(A475),""option|options""),""Options Strategy Education"",
REGEXMATCH(LOWER(A475),""bank nifty|nifty|index""),""Index Options"",
REGEXMATCH(LOWER(A475),""algo|api|systematic""),""Algo Trading / API Tutorial"",
REGEXMATCH(LOWER(A475),"&amp;"""groww|mtf|margin|pledge""),""Platform / Groww Feature Tutorial"",
REGEXMATCH(LOWER(A475),""candlestick|chart|price action|trendline|rsi|indicator""),""Technical Analysis / Chart Patterns"",
REGEXMATCH(LOWER(A475),""beginner|guide|start trading""),""Begi"&amp;"nner Trading Education"",
REGEXMATCH(LOWER(A475),""interview|journey|talks|wisdom""),""Expert Interview / Trading Insights"",
REGEXMATCH(LOWER(A475),""risk|loss|drawdown|psychology""),""Trading Psychology / Risk Management"",
REGEXMATCH(LOWER(A475),""comm"&amp;"odity|crude|gold|natural gas""),""Commodity Trading Education"",
TRUE,""General Trading Education""
)
"),"Platform / Groww Feature Tutorial")</f>
        <v>Platform / Groww Feature Tutorial</v>
      </c>
    </row>
    <row r="476" ht="15.75" customHeight="1">
      <c r="A476" s="1" t="s">
        <v>2383</v>
      </c>
      <c r="B476" s="3" t="s">
        <v>2384</v>
      </c>
      <c r="C476" s="1" t="s">
        <v>2385</v>
      </c>
      <c r="D476" s="1" t="s">
        <v>2386</v>
      </c>
      <c r="E476" s="4">
        <v>44781.0</v>
      </c>
      <c r="F476" s="5">
        <v>0.49444444444444446</v>
      </c>
      <c r="G476" s="1">
        <v>10159.0</v>
      </c>
      <c r="H476" s="1">
        <v>735.0</v>
      </c>
      <c r="I476" s="1">
        <v>27.0</v>
      </c>
      <c r="J476" s="3" t="s">
        <v>2387</v>
      </c>
      <c r="K476" s="6">
        <f t="shared" si="1"/>
        <v>7.500738262</v>
      </c>
      <c r="L476" s="7">
        <f t="shared" si="2"/>
        <v>712</v>
      </c>
      <c r="M476" s="8">
        <f t="shared" si="3"/>
        <v>44781</v>
      </c>
      <c r="N476" s="9" t="str">
        <f>IFERROR(__xludf.DUMMYFUNCTION("IFS(
REGEXMATCH(LOWER(A476),""option|options""),""Options Strategy Education"",
REGEXMATCH(LOWER(A476),""bank nifty|nifty|index""),""Index Options"",
REGEXMATCH(LOWER(A476),""algo|api|systematic""),""Algo Trading / API Tutorial"",
REGEXMATCH(LOWER(A476),"&amp;"""groww|mtf|margin|pledge""),""Platform / Groww Feature Tutorial"",
REGEXMATCH(LOWER(A476),""candlestick|chart|price action|trendline|rsi|indicator""),""Technical Analysis / Chart Patterns"",
REGEXMATCH(LOWER(A476),""beginner|guide|start trading""),""Begi"&amp;"nner Trading Education"",
REGEXMATCH(LOWER(A476),""interview|journey|talks|wisdom""),""Expert Interview / Trading Insights"",
REGEXMATCH(LOWER(A476),""risk|loss|drawdown|psychology""),""Trading Psychology / Risk Management"",
REGEXMATCH(LOWER(A476),""comm"&amp;"odity|crude|gold|natural gas""),""Commodity Trading Education"",
TRUE,""General Trading Education""
)
"),"Trading Psychology / Risk Management")</f>
        <v>Trading Psychology / Risk Management</v>
      </c>
    </row>
    <row r="477" ht="15.75" customHeight="1">
      <c r="A477" s="1" t="s">
        <v>2388</v>
      </c>
      <c r="B477" s="3" t="s">
        <v>2389</v>
      </c>
      <c r="C477" s="1" t="s">
        <v>2390</v>
      </c>
      <c r="D477" s="1" t="s">
        <v>2391</v>
      </c>
      <c r="E477" s="4">
        <v>44778.0</v>
      </c>
      <c r="F477" s="5">
        <v>0.5215277777777778</v>
      </c>
      <c r="G477" s="1">
        <v>3667.0</v>
      </c>
      <c r="H477" s="1">
        <v>155.0</v>
      </c>
      <c r="I477" s="1">
        <v>7.0</v>
      </c>
      <c r="J477" s="3" t="s">
        <v>2392</v>
      </c>
      <c r="K477" s="6">
        <f t="shared" si="1"/>
        <v>4.417780202</v>
      </c>
      <c r="L477" s="7">
        <f t="shared" si="2"/>
        <v>751</v>
      </c>
      <c r="M477" s="8">
        <f t="shared" si="3"/>
        <v>44774</v>
      </c>
      <c r="N477" s="9" t="str">
        <f>IFERROR(__xludf.DUMMYFUNCTION("IFS(
REGEXMATCH(LOWER(A477),""option|options""),""Options Strategy Education"",
REGEXMATCH(LOWER(A477),""bank nifty|nifty|index""),""Index Options"",
REGEXMATCH(LOWER(A477),""algo|api|systematic""),""Algo Trading / API Tutorial"",
REGEXMATCH(LOWER(A477),"&amp;"""groww|mtf|margin|pledge""),""Platform / Groww Feature Tutorial"",
REGEXMATCH(LOWER(A477),""candlestick|chart|price action|trendline|rsi|indicator""),""Technical Analysis / Chart Patterns"",
REGEXMATCH(LOWER(A477),""beginner|guide|start trading""),""Begi"&amp;"nner Trading Education"",
REGEXMATCH(LOWER(A477),""interview|journey|talks|wisdom""),""Expert Interview / Trading Insights"",
REGEXMATCH(LOWER(A477),""risk|loss|drawdown|psychology""),""Trading Psychology / Risk Management"",
REGEXMATCH(LOWER(A477),""comm"&amp;"odity|crude|gold|natural gas""),""Commodity Trading Education"",
TRUE,""General Trading Education""
)
"),"Platform / Groww Feature Tutorial")</f>
        <v>Platform / Groww Feature Tutorial</v>
      </c>
    </row>
    <row r="478" ht="15.75" customHeight="1">
      <c r="A478" s="1" t="s">
        <v>2393</v>
      </c>
      <c r="B478" s="3" t="s">
        <v>2394</v>
      </c>
      <c r="C478" s="1" t="s">
        <v>2395</v>
      </c>
      <c r="D478" s="1" t="s">
        <v>2396</v>
      </c>
      <c r="E478" s="4">
        <v>44777.0</v>
      </c>
      <c r="F478" s="10">
        <v>1.0708333333333333</v>
      </c>
      <c r="G478" s="1">
        <v>53720.0</v>
      </c>
      <c r="H478" s="1">
        <v>1859.0</v>
      </c>
      <c r="I478" s="1">
        <v>44.0</v>
      </c>
      <c r="J478" s="3" t="s">
        <v>2397</v>
      </c>
      <c r="K478" s="6">
        <f t="shared" si="1"/>
        <v>3.542442293</v>
      </c>
      <c r="L478" s="7">
        <f t="shared" si="2"/>
        <v>1542</v>
      </c>
      <c r="M478" s="8">
        <f t="shared" si="3"/>
        <v>44774</v>
      </c>
      <c r="N478" s="9" t="str">
        <f>IFERROR(__xludf.DUMMYFUNCTION("IFS(
REGEXMATCH(LOWER(A478),""option|options""),""Options Strategy Education"",
REGEXMATCH(LOWER(A478),""bank nifty|nifty|index""),""Index Options"",
REGEXMATCH(LOWER(A478),""algo|api|systematic""),""Algo Trading / API Tutorial"",
REGEXMATCH(LOWER(A478),"&amp;"""groww|mtf|margin|pledge""),""Platform / Groww Feature Tutorial"",
REGEXMATCH(LOWER(A478),""candlestick|chart|price action|trendline|rsi|indicator""),""Technical Analysis / Chart Patterns"",
REGEXMATCH(LOWER(A478),""beginner|guide|start trading""),""Begi"&amp;"nner Trading Education"",
REGEXMATCH(LOWER(A478),""interview|journey|talks|wisdom""),""Expert Interview / Trading Insights"",
REGEXMATCH(LOWER(A478),""risk|loss|drawdown|psychology""),""Trading Psychology / Risk Management"",
REGEXMATCH(LOWER(A478),""comm"&amp;"odity|crude|gold|natural gas""),""Commodity Trading Education"",
TRUE,""General Trading Education""
)
"),"General Trading Education")</f>
        <v>General Trading Education</v>
      </c>
    </row>
    <row r="479" ht="15.75" customHeight="1">
      <c r="A479" s="1" t="s">
        <v>2398</v>
      </c>
      <c r="B479" s="3" t="s">
        <v>2399</v>
      </c>
      <c r="C479" s="1" t="s">
        <v>2400</v>
      </c>
      <c r="D479" s="1" t="s">
        <v>2401</v>
      </c>
      <c r="E479" s="4">
        <v>44776.0</v>
      </c>
      <c r="F479" s="5">
        <v>0.8402777777777778</v>
      </c>
      <c r="G479" s="1">
        <v>31722.0</v>
      </c>
      <c r="H479" s="1">
        <v>1618.0</v>
      </c>
      <c r="I479" s="1">
        <v>30.0</v>
      </c>
      <c r="J479" s="3" t="s">
        <v>2402</v>
      </c>
      <c r="K479" s="6">
        <f t="shared" si="1"/>
        <v>5.195132715</v>
      </c>
      <c r="L479" s="7">
        <f t="shared" si="2"/>
        <v>1210</v>
      </c>
      <c r="M479" s="8">
        <f t="shared" si="3"/>
        <v>44774</v>
      </c>
      <c r="N479" s="9" t="str">
        <f>IFERROR(__xludf.DUMMYFUNCTION("IFS(
REGEXMATCH(LOWER(A479),""option|options""),""Options Strategy Education"",
REGEXMATCH(LOWER(A479),""bank nifty|nifty|index""),""Index Options"",
REGEXMATCH(LOWER(A479),""algo|api|systematic""),""Algo Trading / API Tutorial"",
REGEXMATCH(LOWER(A479),"&amp;"""groww|mtf|margin|pledge""),""Platform / Groww Feature Tutorial"",
REGEXMATCH(LOWER(A479),""candlestick|chart|price action|trendline|rsi|indicator""),""Technical Analysis / Chart Patterns"",
REGEXMATCH(LOWER(A479),""beginner|guide|start trading""),""Begi"&amp;"nner Trading Education"",
REGEXMATCH(LOWER(A479),""interview|journey|talks|wisdom""),""Expert Interview / Trading Insights"",
REGEXMATCH(LOWER(A479),""risk|loss|drawdown|psychology""),""Trading Psychology / Risk Management"",
REGEXMATCH(LOWER(A479),""comm"&amp;"odity|crude|gold|natural gas""),""Commodity Trading Education"",
TRUE,""General Trading Education""
)
"),"Beginner Trading Education")</f>
        <v>Beginner Trading Education</v>
      </c>
    </row>
    <row r="480" ht="15.75" customHeight="1">
      <c r="A480" s="1" t="s">
        <v>2403</v>
      </c>
      <c r="B480" s="3" t="s">
        <v>2404</v>
      </c>
      <c r="C480" s="1" t="s">
        <v>2405</v>
      </c>
      <c r="D480" s="1" t="s">
        <v>2406</v>
      </c>
      <c r="E480" s="4">
        <v>44774.0</v>
      </c>
      <c r="F480" s="5">
        <v>0.5930555555555556</v>
      </c>
      <c r="G480" s="1">
        <v>5377.0</v>
      </c>
      <c r="H480" s="1">
        <v>298.0</v>
      </c>
      <c r="I480" s="1">
        <v>19.0</v>
      </c>
      <c r="J480" s="3" t="s">
        <v>2407</v>
      </c>
      <c r="K480" s="6">
        <f t="shared" si="1"/>
        <v>5.895480751</v>
      </c>
      <c r="L480" s="7">
        <f t="shared" si="2"/>
        <v>854</v>
      </c>
      <c r="M480" s="8">
        <f t="shared" si="3"/>
        <v>44774</v>
      </c>
      <c r="N480" s="9" t="str">
        <f>IFERROR(__xludf.DUMMYFUNCTION("IFS(
REGEXMATCH(LOWER(A480),""option|options""),""Options Strategy Education"",
REGEXMATCH(LOWER(A480),""bank nifty|nifty|index""),""Index Options"",
REGEXMATCH(LOWER(A480),""algo|api|systematic""),""Algo Trading / API Tutorial"",
REGEXMATCH(LOWER(A480),"&amp;"""groww|mtf|margin|pledge""),""Platform / Groww Feature Tutorial"",
REGEXMATCH(LOWER(A480),""candlestick|chart|price action|trendline|rsi|indicator""),""Technical Analysis / Chart Patterns"",
REGEXMATCH(LOWER(A480),""beginner|guide|start trading""),""Begi"&amp;"nner Trading Education"",
REGEXMATCH(LOWER(A480),""interview|journey|talks|wisdom""),""Expert Interview / Trading Insights"",
REGEXMATCH(LOWER(A480),""risk|loss|drawdown|psychology""),""Trading Psychology / Risk Management"",
REGEXMATCH(LOWER(A480),""comm"&amp;"odity|crude|gold|natural gas""),""Commodity Trading Education"",
TRUE,""General Trading Education""
)
"),"Options Strategy Education")</f>
        <v>Options Strategy Education</v>
      </c>
    </row>
    <row r="481" ht="15.75" customHeight="1">
      <c r="A481" s="1" t="s">
        <v>2408</v>
      </c>
      <c r="B481" s="3" t="s">
        <v>2409</v>
      </c>
      <c r="C481" s="1" t="s">
        <v>2410</v>
      </c>
      <c r="D481" s="1" t="s">
        <v>2411</v>
      </c>
      <c r="E481" s="4">
        <v>44770.0</v>
      </c>
      <c r="F481" s="10">
        <v>1.0104166666666667</v>
      </c>
      <c r="G481" s="1">
        <v>9171.0</v>
      </c>
      <c r="H481" s="1">
        <v>486.0</v>
      </c>
      <c r="I481" s="1">
        <v>25.0</v>
      </c>
      <c r="J481" s="3" t="s">
        <v>2412</v>
      </c>
      <c r="K481" s="6">
        <f t="shared" si="1"/>
        <v>5.57191146</v>
      </c>
      <c r="L481" s="7">
        <f t="shared" si="2"/>
        <v>1455</v>
      </c>
      <c r="M481" s="8">
        <f t="shared" si="3"/>
        <v>44767</v>
      </c>
      <c r="N481" s="9" t="str">
        <f>IFERROR(__xludf.DUMMYFUNCTION("IFS(
REGEXMATCH(LOWER(A481),""option|options""),""Options Strategy Education"",
REGEXMATCH(LOWER(A481),""bank nifty|nifty|index""),""Index Options"",
REGEXMATCH(LOWER(A481),""algo|api|systematic""),""Algo Trading / API Tutorial"",
REGEXMATCH(LOWER(A481),"&amp;"""groww|mtf|margin|pledge""),""Platform / Groww Feature Tutorial"",
REGEXMATCH(LOWER(A481),""candlestick|chart|price action|trendline|rsi|indicator""),""Technical Analysis / Chart Patterns"",
REGEXMATCH(LOWER(A481),""beginner|guide|start trading""),""Begi"&amp;"nner Trading Education"",
REGEXMATCH(LOWER(A481),""interview|journey|talks|wisdom""),""Expert Interview / Trading Insights"",
REGEXMATCH(LOWER(A481),""risk|loss|drawdown|psychology""),""Trading Psychology / Risk Management"",
REGEXMATCH(LOWER(A481),""comm"&amp;"odity|crude|gold|natural gas""),""Commodity Trading Education"",
TRUE,""General Trading Education""
)
"),"General Trading Education")</f>
        <v>General Trading Education</v>
      </c>
    </row>
    <row r="482" ht="15.75" customHeight="1">
      <c r="A482" s="1" t="s">
        <v>2413</v>
      </c>
      <c r="B482" s="3" t="s">
        <v>2414</v>
      </c>
      <c r="C482" s="1" t="s">
        <v>2415</v>
      </c>
      <c r="D482" s="1" t="s">
        <v>2416</v>
      </c>
      <c r="E482" s="4">
        <v>44769.0</v>
      </c>
      <c r="F482" s="5">
        <v>0.5277777777777778</v>
      </c>
      <c r="G482" s="1">
        <v>6825.0</v>
      </c>
      <c r="H482" s="1">
        <v>321.0</v>
      </c>
      <c r="I482" s="1">
        <v>21.0</v>
      </c>
      <c r="J482" s="3" t="s">
        <v>2417</v>
      </c>
      <c r="K482" s="6">
        <f t="shared" si="1"/>
        <v>5.010989011</v>
      </c>
      <c r="L482" s="7">
        <f t="shared" si="2"/>
        <v>760</v>
      </c>
      <c r="M482" s="8">
        <f t="shared" si="3"/>
        <v>44767</v>
      </c>
      <c r="N482" s="9" t="str">
        <f>IFERROR(__xludf.DUMMYFUNCTION("IFS(
REGEXMATCH(LOWER(A482),""option|options""),""Options Strategy Education"",
REGEXMATCH(LOWER(A482),""bank nifty|nifty|index""),""Index Options"",
REGEXMATCH(LOWER(A482),""algo|api|systematic""),""Algo Trading / API Tutorial"",
REGEXMATCH(LOWER(A482),"&amp;"""groww|mtf|margin|pledge""),""Platform / Groww Feature Tutorial"",
REGEXMATCH(LOWER(A482),""candlestick|chart|price action|trendline|rsi|indicator""),""Technical Analysis / Chart Patterns"",
REGEXMATCH(LOWER(A482),""beginner|guide|start trading""),""Begi"&amp;"nner Trading Education"",
REGEXMATCH(LOWER(A482),""interview|journey|talks|wisdom""),""Expert Interview / Trading Insights"",
REGEXMATCH(LOWER(A482),""risk|loss|drawdown|psychology""),""Trading Psychology / Risk Management"",
REGEXMATCH(LOWER(A482),""comm"&amp;"odity|crude|gold|natural gas""),""Commodity Trading Education"",
TRUE,""General Trading Education""
)
"),"General Trading Education")</f>
        <v>General Trading Education</v>
      </c>
    </row>
    <row r="483" ht="15.75" customHeight="1">
      <c r="A483" s="1" t="s">
        <v>2418</v>
      </c>
      <c r="B483" s="3" t="s">
        <v>2419</v>
      </c>
      <c r="C483" s="1" t="s">
        <v>2420</v>
      </c>
      <c r="D483" s="1" t="s">
        <v>2421</v>
      </c>
      <c r="E483" s="4">
        <v>44768.0</v>
      </c>
      <c r="F483" s="5">
        <v>0.4444444444444444</v>
      </c>
      <c r="G483" s="1">
        <v>5413.0</v>
      </c>
      <c r="H483" s="1">
        <v>428.0</v>
      </c>
      <c r="I483" s="1">
        <v>35.0</v>
      </c>
      <c r="J483" s="3" t="s">
        <v>2422</v>
      </c>
      <c r="K483" s="6">
        <f t="shared" si="1"/>
        <v>8.553482357</v>
      </c>
      <c r="L483" s="7">
        <f t="shared" si="2"/>
        <v>640</v>
      </c>
      <c r="M483" s="8">
        <f t="shared" si="3"/>
        <v>44767</v>
      </c>
      <c r="N483" s="9" t="str">
        <f>IFERROR(__xludf.DUMMYFUNCTION("IFS(
REGEXMATCH(LOWER(A483),""option|options""),""Options Strategy Education"",
REGEXMATCH(LOWER(A483),""bank nifty|nifty|index""),""Index Options"",
REGEXMATCH(LOWER(A483),""algo|api|systematic""),""Algo Trading / API Tutorial"",
REGEXMATCH(LOWER(A483),"&amp;"""groww|mtf|margin|pledge""),""Platform / Groww Feature Tutorial"",
REGEXMATCH(LOWER(A483),""candlestick|chart|price action|trendline|rsi|indicator""),""Technical Analysis / Chart Patterns"",
REGEXMATCH(LOWER(A483),""beginner|guide|start trading""),""Begi"&amp;"nner Trading Education"",
REGEXMATCH(LOWER(A483),""interview|journey|talks|wisdom""),""Expert Interview / Trading Insights"",
REGEXMATCH(LOWER(A483),""risk|loss|drawdown|psychology""),""Trading Psychology / Risk Management"",
REGEXMATCH(LOWER(A483),""comm"&amp;"odity|crude|gold|natural gas""),""Commodity Trading Education"",
TRUE,""General Trading Education""
)
"),"General Trading Education")</f>
        <v>General Trading Education</v>
      </c>
    </row>
    <row r="484" ht="15.75" customHeight="1">
      <c r="A484" s="1" t="s">
        <v>2423</v>
      </c>
      <c r="B484" s="3" t="s">
        <v>2424</v>
      </c>
      <c r="C484" s="1" t="s">
        <v>2425</v>
      </c>
      <c r="D484" s="1" t="s">
        <v>2426</v>
      </c>
      <c r="E484" s="4">
        <v>44767.0</v>
      </c>
      <c r="F484" s="5">
        <v>0.6375</v>
      </c>
      <c r="G484" s="1">
        <v>71396.0</v>
      </c>
      <c r="H484" s="1">
        <v>2434.0</v>
      </c>
      <c r="I484" s="1">
        <v>48.0</v>
      </c>
      <c r="J484" s="3" t="s">
        <v>2427</v>
      </c>
      <c r="K484" s="6">
        <f t="shared" si="1"/>
        <v>3.476385232</v>
      </c>
      <c r="L484" s="7">
        <f t="shared" si="2"/>
        <v>918</v>
      </c>
      <c r="M484" s="8">
        <f t="shared" si="3"/>
        <v>44767</v>
      </c>
      <c r="N484" s="9" t="str">
        <f>IFERROR(__xludf.DUMMYFUNCTION("IFS(
REGEXMATCH(LOWER(A484),""option|options""),""Options Strategy Education"",
REGEXMATCH(LOWER(A484),""bank nifty|nifty|index""),""Index Options"",
REGEXMATCH(LOWER(A484),""algo|api|systematic""),""Algo Trading / API Tutorial"",
REGEXMATCH(LOWER(A484),"&amp;"""groww|mtf|margin|pledge""),""Platform / Groww Feature Tutorial"",
REGEXMATCH(LOWER(A484),""candlestick|chart|price action|trendline|rsi|indicator""),""Technical Analysis / Chart Patterns"",
REGEXMATCH(LOWER(A484),""beginner|guide|start trading""),""Begi"&amp;"nner Trading Education"",
REGEXMATCH(LOWER(A484),""interview|journey|talks|wisdom""),""Expert Interview / Trading Insights"",
REGEXMATCH(LOWER(A484),""risk|loss|drawdown|psychology""),""Trading Psychology / Risk Management"",
REGEXMATCH(LOWER(A484),""comm"&amp;"odity|crude|gold|natural gas""),""Commodity Trading Education"",
TRUE,""General Trading Education""
)
"),"Technical Analysis / Chart Patterns")</f>
        <v>Technical Analysis / Chart Patterns</v>
      </c>
    </row>
    <row r="485" ht="15.75" customHeight="1">
      <c r="A485" s="1" t="s">
        <v>2428</v>
      </c>
      <c r="B485" s="3" t="s">
        <v>2429</v>
      </c>
      <c r="C485" s="1" t="s">
        <v>2430</v>
      </c>
      <c r="D485" s="1" t="s">
        <v>2431</v>
      </c>
      <c r="E485" s="4">
        <v>44764.0</v>
      </c>
      <c r="F485" s="5">
        <v>0.9034722222222222</v>
      </c>
      <c r="G485" s="1">
        <v>84323.0</v>
      </c>
      <c r="H485" s="1">
        <v>2869.0</v>
      </c>
      <c r="I485" s="1">
        <v>94.0</v>
      </c>
      <c r="J485" s="3" t="s">
        <v>2432</v>
      </c>
      <c r="K485" s="6">
        <f t="shared" si="1"/>
        <v>3.513869288</v>
      </c>
      <c r="L485" s="7">
        <f t="shared" si="2"/>
        <v>1301</v>
      </c>
      <c r="M485" s="8">
        <f t="shared" si="3"/>
        <v>44760</v>
      </c>
      <c r="N485" s="9" t="str">
        <f>IFERROR(__xludf.DUMMYFUNCTION("IFS(
REGEXMATCH(LOWER(A485),""option|options""),""Options Strategy Education"",
REGEXMATCH(LOWER(A485),""bank nifty|nifty|index""),""Index Options"",
REGEXMATCH(LOWER(A485),""algo|api|systematic""),""Algo Trading / API Tutorial"",
REGEXMATCH(LOWER(A485),"&amp;"""groww|mtf|margin|pledge""),""Platform / Groww Feature Tutorial"",
REGEXMATCH(LOWER(A485),""candlestick|chart|price action|trendline|rsi|indicator""),""Technical Analysis / Chart Patterns"",
REGEXMATCH(LOWER(A485),""beginner|guide|start trading""),""Begi"&amp;"nner Trading Education"",
REGEXMATCH(LOWER(A485),""interview|journey|talks|wisdom""),""Expert Interview / Trading Insights"",
REGEXMATCH(LOWER(A485),""risk|loss|drawdown|psychology""),""Trading Psychology / Risk Management"",
REGEXMATCH(LOWER(A485),""comm"&amp;"odity|crude|gold|natural gas""),""Commodity Trading Education"",
TRUE,""General Trading Education""
)
"),"General Trading Education")</f>
        <v>General Trading Education</v>
      </c>
    </row>
    <row r="486" ht="15.75" customHeight="1">
      <c r="A486" s="1" t="s">
        <v>2433</v>
      </c>
      <c r="B486" s="3" t="s">
        <v>2434</v>
      </c>
      <c r="C486" s="1" t="s">
        <v>2435</v>
      </c>
      <c r="D486" s="1" t="s">
        <v>2436</v>
      </c>
      <c r="E486" s="4">
        <v>44762.0</v>
      </c>
      <c r="F486" s="5">
        <v>0.42569444444444443</v>
      </c>
      <c r="G486" s="1">
        <v>2481.0</v>
      </c>
      <c r="H486" s="1">
        <v>161.0</v>
      </c>
      <c r="I486" s="1">
        <v>6.0</v>
      </c>
      <c r="J486" s="3" t="s">
        <v>2437</v>
      </c>
      <c r="K486" s="6">
        <f t="shared" si="1"/>
        <v>6.731156792</v>
      </c>
      <c r="L486" s="7">
        <f t="shared" si="2"/>
        <v>613</v>
      </c>
      <c r="M486" s="8">
        <f t="shared" si="3"/>
        <v>44760</v>
      </c>
      <c r="N486" s="9" t="str">
        <f>IFERROR(__xludf.DUMMYFUNCTION("IFS(
REGEXMATCH(LOWER(A486),""option|options""),""Options Strategy Education"",
REGEXMATCH(LOWER(A486),""bank nifty|nifty|index""),""Index Options"",
REGEXMATCH(LOWER(A486),""algo|api|systematic""),""Algo Trading / API Tutorial"",
REGEXMATCH(LOWER(A486),"&amp;"""groww|mtf|margin|pledge""),""Platform / Groww Feature Tutorial"",
REGEXMATCH(LOWER(A486),""candlestick|chart|price action|trendline|rsi|indicator""),""Technical Analysis / Chart Patterns"",
REGEXMATCH(LOWER(A486),""beginner|guide|start trading""),""Begi"&amp;"nner Trading Education"",
REGEXMATCH(LOWER(A486),""interview|journey|talks|wisdom""),""Expert Interview / Trading Insights"",
REGEXMATCH(LOWER(A486),""risk|loss|drawdown|psychology""),""Trading Psychology / Risk Management"",
REGEXMATCH(LOWER(A486),""comm"&amp;"odity|crude|gold|natural gas""),""Commodity Trading Education"",
TRUE,""General Trading Education""
)
"),"General Trading Education")</f>
        <v>General Trading Education</v>
      </c>
    </row>
    <row r="487" ht="15.75" customHeight="1">
      <c r="A487" s="1" t="s">
        <v>2438</v>
      </c>
      <c r="B487" s="3" t="s">
        <v>2439</v>
      </c>
      <c r="C487" s="1" t="s">
        <v>2440</v>
      </c>
      <c r="D487" s="1" t="s">
        <v>2441</v>
      </c>
      <c r="E487" s="4">
        <v>44761.0</v>
      </c>
      <c r="F487" s="5">
        <v>0.6069444444444444</v>
      </c>
      <c r="G487" s="1">
        <v>8410.0</v>
      </c>
      <c r="H487" s="1">
        <v>326.0</v>
      </c>
      <c r="I487" s="1">
        <v>10.0</v>
      </c>
      <c r="J487" s="3" t="s">
        <v>2442</v>
      </c>
      <c r="K487" s="6">
        <f t="shared" si="1"/>
        <v>3.995243757</v>
      </c>
      <c r="L487" s="7">
        <f t="shared" si="2"/>
        <v>874</v>
      </c>
      <c r="M487" s="8">
        <f t="shared" si="3"/>
        <v>44760</v>
      </c>
      <c r="N487" s="9" t="str">
        <f>IFERROR(__xludf.DUMMYFUNCTION("IFS(
REGEXMATCH(LOWER(A487),""option|options""),""Options Strategy Education"",
REGEXMATCH(LOWER(A487),""bank nifty|nifty|index""),""Index Options"",
REGEXMATCH(LOWER(A487),""algo|api|systematic""),""Algo Trading / API Tutorial"",
REGEXMATCH(LOWER(A487),"&amp;"""groww|mtf|margin|pledge""),""Platform / Groww Feature Tutorial"",
REGEXMATCH(LOWER(A487),""candlestick|chart|price action|trendline|rsi|indicator""),""Technical Analysis / Chart Patterns"",
REGEXMATCH(LOWER(A487),""beginner|guide|start trading""),""Begi"&amp;"nner Trading Education"",
REGEXMATCH(LOWER(A487),""interview|journey|talks|wisdom""),""Expert Interview / Trading Insights"",
REGEXMATCH(LOWER(A487),""risk|loss|drawdown|psychology""),""Trading Psychology / Risk Management"",
REGEXMATCH(LOWER(A487),""comm"&amp;"odity|crude|gold|natural gas""),""Commodity Trading Education"",
TRUE,""General Trading Education""
)
"),"Technical Analysis / Chart Patterns")</f>
        <v>Technical Analysis / Chart Patterns</v>
      </c>
    </row>
    <row r="488" ht="15.75" customHeight="1">
      <c r="A488" s="1" t="s">
        <v>2443</v>
      </c>
      <c r="B488" s="3" t="s">
        <v>2444</v>
      </c>
      <c r="C488" s="1" t="s">
        <v>2445</v>
      </c>
      <c r="D488" s="1" t="s">
        <v>2446</v>
      </c>
      <c r="E488" s="4">
        <v>44760.0</v>
      </c>
      <c r="F488" s="5">
        <v>0.9402777777777778</v>
      </c>
      <c r="G488" s="1">
        <v>9213.0</v>
      </c>
      <c r="H488" s="1">
        <v>671.0</v>
      </c>
      <c r="I488" s="1">
        <v>43.0</v>
      </c>
      <c r="J488" s="3" t="s">
        <v>2447</v>
      </c>
      <c r="K488" s="6">
        <f t="shared" si="1"/>
        <v>7.749918593</v>
      </c>
      <c r="L488" s="7">
        <f t="shared" si="2"/>
        <v>1354</v>
      </c>
      <c r="M488" s="8">
        <f t="shared" si="3"/>
        <v>44760</v>
      </c>
      <c r="N488" s="9" t="str">
        <f>IFERROR(__xludf.DUMMYFUNCTION("IFS(
REGEXMATCH(LOWER(A488),""option|options""),""Options Strategy Education"",
REGEXMATCH(LOWER(A488),""bank nifty|nifty|index""),""Index Options"",
REGEXMATCH(LOWER(A488),""algo|api|systematic""),""Algo Trading / API Tutorial"",
REGEXMATCH(LOWER(A488),"&amp;"""groww|mtf|margin|pledge""),""Platform / Groww Feature Tutorial"",
REGEXMATCH(LOWER(A488),""candlestick|chart|price action|trendline|rsi|indicator""),""Technical Analysis / Chart Patterns"",
REGEXMATCH(LOWER(A488),""beginner|guide|start trading""),""Begi"&amp;"nner Trading Education"",
REGEXMATCH(LOWER(A488),""interview|journey|talks|wisdom""),""Expert Interview / Trading Insights"",
REGEXMATCH(LOWER(A488),""risk|loss|drawdown|psychology""),""Trading Psychology / Risk Management"",
REGEXMATCH(LOWER(A488),""comm"&amp;"odity|crude|gold|natural gas""),""Commodity Trading Education"",
TRUE,""General Trading Education""
)
"),"General Trading Education")</f>
        <v>General Trading Education</v>
      </c>
    </row>
    <row r="489" ht="15.75" customHeight="1">
      <c r="A489" s="1" t="s">
        <v>2448</v>
      </c>
      <c r="B489" s="3" t="s">
        <v>2449</v>
      </c>
      <c r="C489" s="1" t="s">
        <v>2450</v>
      </c>
      <c r="D489" s="1" t="s">
        <v>2451</v>
      </c>
      <c r="E489" s="4">
        <v>44756.0</v>
      </c>
      <c r="F489" s="10">
        <v>1.136111111111111</v>
      </c>
      <c r="G489" s="1">
        <v>43305.0</v>
      </c>
      <c r="H489" s="1">
        <v>1611.0</v>
      </c>
      <c r="I489" s="1">
        <v>65.0</v>
      </c>
      <c r="J489" s="3" t="s">
        <v>2452</v>
      </c>
      <c r="K489" s="6">
        <f t="shared" si="1"/>
        <v>3.870222838</v>
      </c>
      <c r="L489" s="7">
        <f t="shared" si="2"/>
        <v>1636</v>
      </c>
      <c r="M489" s="8">
        <f t="shared" si="3"/>
        <v>44753</v>
      </c>
      <c r="N489" s="9" t="str">
        <f>IFERROR(__xludf.DUMMYFUNCTION("IFS(
REGEXMATCH(LOWER(A489),""option|options""),""Options Strategy Education"",
REGEXMATCH(LOWER(A489),""bank nifty|nifty|index""),""Index Options"",
REGEXMATCH(LOWER(A489),""algo|api|systematic""),""Algo Trading / API Tutorial"",
REGEXMATCH(LOWER(A489),"&amp;"""groww|mtf|margin|pledge""),""Platform / Groww Feature Tutorial"",
REGEXMATCH(LOWER(A489),""candlestick|chart|price action|trendline|rsi|indicator""),""Technical Analysis / Chart Patterns"",
REGEXMATCH(LOWER(A489),""beginner|guide|start trading""),""Begi"&amp;"nner Trading Education"",
REGEXMATCH(LOWER(A489),""interview|journey|talks|wisdom""),""Expert Interview / Trading Insights"",
REGEXMATCH(LOWER(A489),""risk|loss|drawdown|psychology""),""Trading Psychology / Risk Management"",
REGEXMATCH(LOWER(A489),""comm"&amp;"odity|crude|gold|natural gas""),""Commodity Trading Education"",
TRUE,""General Trading Education""
)
"),"General Trading Education")</f>
        <v>General Trading Education</v>
      </c>
    </row>
    <row r="490" ht="15.75" customHeight="1">
      <c r="A490" s="1" t="s">
        <v>2453</v>
      </c>
      <c r="B490" s="3" t="s">
        <v>2454</v>
      </c>
      <c r="C490" s="1" t="s">
        <v>2455</v>
      </c>
      <c r="D490" s="1" t="s">
        <v>2456</v>
      </c>
      <c r="E490" s="4">
        <v>44755.0</v>
      </c>
      <c r="F490" s="5">
        <v>0.36875</v>
      </c>
      <c r="G490" s="1">
        <v>3672.0</v>
      </c>
      <c r="H490" s="1">
        <v>150.0</v>
      </c>
      <c r="I490" s="1">
        <v>3.0</v>
      </c>
      <c r="J490" s="3" t="s">
        <v>2457</v>
      </c>
      <c r="K490" s="6">
        <f t="shared" si="1"/>
        <v>4.166666667</v>
      </c>
      <c r="L490" s="7">
        <f t="shared" si="2"/>
        <v>531</v>
      </c>
      <c r="M490" s="8">
        <f t="shared" si="3"/>
        <v>44753</v>
      </c>
      <c r="N490" s="9" t="str">
        <f>IFERROR(__xludf.DUMMYFUNCTION("IFS(
REGEXMATCH(LOWER(A490),""option|options""),""Options Strategy Education"",
REGEXMATCH(LOWER(A490),""bank nifty|nifty|index""),""Index Options"",
REGEXMATCH(LOWER(A490),""algo|api|systematic""),""Algo Trading / API Tutorial"",
REGEXMATCH(LOWER(A490),"&amp;"""groww|mtf|margin|pledge""),""Platform / Groww Feature Tutorial"",
REGEXMATCH(LOWER(A490),""candlestick|chart|price action|trendline|rsi|indicator""),""Technical Analysis / Chart Patterns"",
REGEXMATCH(LOWER(A490),""beginner|guide|start trading""),""Begi"&amp;"nner Trading Education"",
REGEXMATCH(LOWER(A490),""interview|journey|talks|wisdom""),""Expert Interview / Trading Insights"",
REGEXMATCH(LOWER(A490),""risk|loss|drawdown|psychology""),""Trading Psychology / Risk Management"",
REGEXMATCH(LOWER(A490),""comm"&amp;"odity|crude|gold|natural gas""),""Commodity Trading Education"",
TRUE,""General Trading Education""
)
"),"General Trading Education")</f>
        <v>General Trading Education</v>
      </c>
    </row>
    <row r="491" ht="15.75" customHeight="1">
      <c r="A491" s="1" t="s">
        <v>2458</v>
      </c>
      <c r="B491" s="3" t="s">
        <v>2459</v>
      </c>
      <c r="C491" s="1" t="s">
        <v>2460</v>
      </c>
      <c r="D491" s="1" t="s">
        <v>2461</v>
      </c>
      <c r="E491" s="4">
        <v>44754.0</v>
      </c>
      <c r="F491" s="5">
        <v>0.22083333333333333</v>
      </c>
      <c r="G491" s="1">
        <v>14259.0</v>
      </c>
      <c r="H491" s="1">
        <v>433.0</v>
      </c>
      <c r="I491" s="1">
        <v>71.0</v>
      </c>
      <c r="J491" s="3" t="s">
        <v>2462</v>
      </c>
      <c r="K491" s="6">
        <f t="shared" si="1"/>
        <v>3.53460972</v>
      </c>
      <c r="L491" s="7">
        <f t="shared" si="2"/>
        <v>318</v>
      </c>
      <c r="M491" s="8">
        <f t="shared" si="3"/>
        <v>44753</v>
      </c>
      <c r="N491" s="9" t="str">
        <f>IFERROR(__xludf.DUMMYFUNCTION("IFS(
REGEXMATCH(LOWER(A491),""option|options""),""Options Strategy Education"",
REGEXMATCH(LOWER(A491),""bank nifty|nifty|index""),""Index Options"",
REGEXMATCH(LOWER(A491),""algo|api|systematic""),""Algo Trading / API Tutorial"",
REGEXMATCH(LOWER(A491),"&amp;"""groww|mtf|margin|pledge""),""Platform / Groww Feature Tutorial"",
REGEXMATCH(LOWER(A491),""candlestick|chart|price action|trendline|rsi|indicator""),""Technical Analysis / Chart Patterns"",
REGEXMATCH(LOWER(A491),""beginner|guide|start trading""),""Begi"&amp;"nner Trading Education"",
REGEXMATCH(LOWER(A491),""interview|journey|talks|wisdom""),""Expert Interview / Trading Insights"",
REGEXMATCH(LOWER(A491),""risk|loss|drawdown|psychology""),""Trading Psychology / Risk Management"",
REGEXMATCH(LOWER(A491),""comm"&amp;"odity|crude|gold|natural gas""),""Commodity Trading Education"",
TRUE,""General Trading Education""
)
"),"Trading Psychology / Risk Management")</f>
        <v>Trading Psychology / Risk Management</v>
      </c>
    </row>
    <row r="492" ht="15.75" customHeight="1">
      <c r="A492" s="1" t="s">
        <v>2463</v>
      </c>
      <c r="B492" s="3" t="s">
        <v>2464</v>
      </c>
      <c r="C492" s="1" t="s">
        <v>2465</v>
      </c>
      <c r="D492" s="1" t="s">
        <v>2466</v>
      </c>
      <c r="E492" s="4">
        <v>44753.0</v>
      </c>
      <c r="F492" s="5">
        <v>0.6354166666666666</v>
      </c>
      <c r="G492" s="1">
        <v>15550.0</v>
      </c>
      <c r="H492" s="1">
        <v>520.0</v>
      </c>
      <c r="I492" s="1">
        <v>19.0</v>
      </c>
      <c r="J492" s="3" t="s">
        <v>2467</v>
      </c>
      <c r="K492" s="6">
        <f t="shared" si="1"/>
        <v>3.466237942</v>
      </c>
      <c r="L492" s="7">
        <f t="shared" si="2"/>
        <v>915</v>
      </c>
      <c r="M492" s="8">
        <f t="shared" si="3"/>
        <v>44753</v>
      </c>
      <c r="N492" s="9" t="str">
        <f>IFERROR(__xludf.DUMMYFUNCTION("IFS(
REGEXMATCH(LOWER(A492),""option|options""),""Options Strategy Education"",
REGEXMATCH(LOWER(A492),""bank nifty|nifty|index""),""Index Options"",
REGEXMATCH(LOWER(A492),""algo|api|systematic""),""Algo Trading / API Tutorial"",
REGEXMATCH(LOWER(A492),"&amp;"""groww|mtf|margin|pledge""),""Platform / Groww Feature Tutorial"",
REGEXMATCH(LOWER(A492),""candlestick|chart|price action|trendline|rsi|indicator""),""Technical Analysis / Chart Patterns"",
REGEXMATCH(LOWER(A492),""beginner|guide|start trading""),""Begi"&amp;"nner Trading Education"",
REGEXMATCH(LOWER(A492),""interview|journey|talks|wisdom""),""Expert Interview / Trading Insights"",
REGEXMATCH(LOWER(A492),""risk|loss|drawdown|psychology""),""Trading Psychology / Risk Management"",
REGEXMATCH(LOWER(A492),""comm"&amp;"odity|crude|gold|natural gas""),""Commodity Trading Education"",
TRUE,""General Trading Education""
)
"),"Beginner Trading Education")</f>
        <v>Beginner Trading Education</v>
      </c>
    </row>
    <row r="493" ht="15.75" customHeight="1">
      <c r="A493" s="1" t="s">
        <v>2468</v>
      </c>
      <c r="B493" s="3" t="s">
        <v>2469</v>
      </c>
      <c r="C493" s="1" t="s">
        <v>2470</v>
      </c>
      <c r="D493" s="1" t="s">
        <v>2471</v>
      </c>
      <c r="E493" s="4">
        <v>44752.0</v>
      </c>
      <c r="F493" s="5">
        <v>0.4354166666666667</v>
      </c>
      <c r="G493" s="1">
        <v>3934.0</v>
      </c>
      <c r="H493" s="1">
        <v>229.0</v>
      </c>
      <c r="I493" s="1">
        <v>14.0</v>
      </c>
      <c r="J493" s="3" t="s">
        <v>2472</v>
      </c>
      <c r="K493" s="6">
        <f t="shared" si="1"/>
        <v>6.176919166</v>
      </c>
      <c r="L493" s="7">
        <f t="shared" si="2"/>
        <v>627</v>
      </c>
      <c r="M493" s="8">
        <f t="shared" si="3"/>
        <v>44746</v>
      </c>
      <c r="N493" s="9" t="str">
        <f>IFERROR(__xludf.DUMMYFUNCTION("IFS(
REGEXMATCH(LOWER(A493),""option|options""),""Options Strategy Education"",
REGEXMATCH(LOWER(A493),""bank nifty|nifty|index""),""Index Options"",
REGEXMATCH(LOWER(A493),""algo|api|systematic""),""Algo Trading / API Tutorial"",
REGEXMATCH(LOWER(A493),"&amp;"""groww|mtf|margin|pledge""),""Platform / Groww Feature Tutorial"",
REGEXMATCH(LOWER(A493),""candlestick|chart|price action|trendline|rsi|indicator""),""Technical Analysis / Chart Patterns"",
REGEXMATCH(LOWER(A493),""beginner|guide|start trading""),""Begi"&amp;"nner Trading Education"",
REGEXMATCH(LOWER(A493),""interview|journey|talks|wisdom""),""Expert Interview / Trading Insights"",
REGEXMATCH(LOWER(A493),""risk|loss|drawdown|psychology""),""Trading Psychology / Risk Management"",
REGEXMATCH(LOWER(A493),""comm"&amp;"odity|crude|gold|natural gas""),""Commodity Trading Education"",
TRUE,""General Trading Education""
)
"),"General Trading Education")</f>
        <v>General Trading Education</v>
      </c>
    </row>
    <row r="494" ht="15.75" customHeight="1">
      <c r="A494" s="1" t="s">
        <v>2473</v>
      </c>
      <c r="B494" s="3" t="s">
        <v>2474</v>
      </c>
      <c r="C494" s="1" t="s">
        <v>2475</v>
      </c>
      <c r="D494" s="1" t="s">
        <v>2476</v>
      </c>
      <c r="E494" s="4">
        <v>44749.0</v>
      </c>
      <c r="F494" s="5">
        <v>0.6583333333333333</v>
      </c>
      <c r="G494" s="1">
        <v>22085.0</v>
      </c>
      <c r="H494" s="1">
        <v>1133.0</v>
      </c>
      <c r="I494" s="1">
        <v>46.0</v>
      </c>
      <c r="J494" s="3" t="s">
        <v>2477</v>
      </c>
      <c r="K494" s="6">
        <f t="shared" si="1"/>
        <v>5.338465022</v>
      </c>
      <c r="L494" s="7">
        <f t="shared" si="2"/>
        <v>948</v>
      </c>
      <c r="M494" s="8">
        <f t="shared" si="3"/>
        <v>44746</v>
      </c>
      <c r="N494" s="9" t="str">
        <f>IFERROR(__xludf.DUMMYFUNCTION("IFS(
REGEXMATCH(LOWER(A494),""option|options""),""Options Strategy Education"",
REGEXMATCH(LOWER(A494),""bank nifty|nifty|index""),""Index Options"",
REGEXMATCH(LOWER(A494),""algo|api|systematic""),""Algo Trading / API Tutorial"",
REGEXMATCH(LOWER(A494),"&amp;"""groww|mtf|margin|pledge""),""Platform / Groww Feature Tutorial"",
REGEXMATCH(LOWER(A494),""candlestick|chart|price action|trendline|rsi|indicator""),""Technical Analysis / Chart Patterns"",
REGEXMATCH(LOWER(A494),""beginner|guide|start trading""),""Begi"&amp;"nner Trading Education"",
REGEXMATCH(LOWER(A494),""interview|journey|talks|wisdom""),""Expert Interview / Trading Insights"",
REGEXMATCH(LOWER(A494),""risk|loss|drawdown|psychology""),""Trading Psychology / Risk Management"",
REGEXMATCH(LOWER(A494),""comm"&amp;"odity|crude|gold|natural gas""),""Commodity Trading Education"",
TRUE,""General Trading Education""
)
"),"Options Strategy Education")</f>
        <v>Options Strategy Education</v>
      </c>
    </row>
    <row r="495" ht="15.75" customHeight="1">
      <c r="A495" s="1" t="s">
        <v>2478</v>
      </c>
      <c r="B495" s="3" t="s">
        <v>2479</v>
      </c>
      <c r="C495" s="1" t="s">
        <v>2480</v>
      </c>
      <c r="D495" s="1" t="s">
        <v>2481</v>
      </c>
      <c r="E495" s="4">
        <v>44747.0</v>
      </c>
      <c r="F495" s="5">
        <v>0.7326388888888888</v>
      </c>
      <c r="G495" s="1">
        <v>2865.0</v>
      </c>
      <c r="H495" s="1">
        <v>135.0</v>
      </c>
      <c r="I495" s="1">
        <v>9.0</v>
      </c>
      <c r="J495" s="3" t="s">
        <v>2482</v>
      </c>
      <c r="K495" s="6">
        <f t="shared" si="1"/>
        <v>5.02617801</v>
      </c>
      <c r="L495" s="7">
        <f t="shared" si="2"/>
        <v>1055</v>
      </c>
      <c r="M495" s="8">
        <f t="shared" si="3"/>
        <v>44746</v>
      </c>
      <c r="N495" s="9" t="str">
        <f>IFERROR(__xludf.DUMMYFUNCTION("IFS(
REGEXMATCH(LOWER(A495),""option|options""),""Options Strategy Education"",
REGEXMATCH(LOWER(A495),""bank nifty|nifty|index""),""Index Options"",
REGEXMATCH(LOWER(A495),""algo|api|systematic""),""Algo Trading / API Tutorial"",
REGEXMATCH(LOWER(A495),"&amp;"""groww|mtf|margin|pledge""),""Platform / Groww Feature Tutorial"",
REGEXMATCH(LOWER(A495),""candlestick|chart|price action|trendline|rsi|indicator""),""Technical Analysis / Chart Patterns"",
REGEXMATCH(LOWER(A495),""beginner|guide|start trading""),""Begi"&amp;"nner Trading Education"",
REGEXMATCH(LOWER(A495),""interview|journey|talks|wisdom""),""Expert Interview / Trading Insights"",
REGEXMATCH(LOWER(A495),""risk|loss|drawdown|psychology""),""Trading Psychology / Risk Management"",
REGEXMATCH(LOWER(A495),""comm"&amp;"odity|crude|gold|natural gas""),""Commodity Trading Education"",
TRUE,""General Trading Education""
)
"),"Technical Analysis / Chart Patterns")</f>
        <v>Technical Analysis / Chart Patterns</v>
      </c>
    </row>
    <row r="496" ht="15.75" customHeight="1">
      <c r="A496" s="1" t="s">
        <v>2483</v>
      </c>
      <c r="B496" s="3" t="s">
        <v>2484</v>
      </c>
      <c r="C496" s="1" t="s">
        <v>2485</v>
      </c>
      <c r="D496" s="1" t="s">
        <v>2486</v>
      </c>
      <c r="E496" s="4">
        <v>44746.0</v>
      </c>
      <c r="F496" s="5">
        <v>0.35694444444444445</v>
      </c>
      <c r="G496" s="1">
        <v>7774.0</v>
      </c>
      <c r="H496" s="1">
        <v>412.0</v>
      </c>
      <c r="I496" s="1">
        <v>18.0</v>
      </c>
      <c r="J496" s="3" t="s">
        <v>2487</v>
      </c>
      <c r="K496" s="6">
        <f t="shared" si="1"/>
        <v>5.53125804</v>
      </c>
      <c r="L496" s="7">
        <f t="shared" si="2"/>
        <v>514</v>
      </c>
      <c r="M496" s="8">
        <f t="shared" si="3"/>
        <v>44746</v>
      </c>
      <c r="N496" s="9" t="str">
        <f>IFERROR(__xludf.DUMMYFUNCTION("IFS(
REGEXMATCH(LOWER(A496),""option|options""),""Options Strategy Education"",
REGEXMATCH(LOWER(A496),""bank nifty|nifty|index""),""Index Options"",
REGEXMATCH(LOWER(A496),""algo|api|systematic""),""Algo Trading / API Tutorial"",
REGEXMATCH(LOWER(A496),"&amp;"""groww|mtf|margin|pledge""),""Platform / Groww Feature Tutorial"",
REGEXMATCH(LOWER(A496),""candlestick|chart|price action|trendline|rsi|indicator""),""Technical Analysis / Chart Patterns"",
REGEXMATCH(LOWER(A496),""beginner|guide|start trading""),""Begi"&amp;"nner Trading Education"",
REGEXMATCH(LOWER(A496),""interview|journey|talks|wisdom""),""Expert Interview / Trading Insights"",
REGEXMATCH(LOWER(A496),""risk|loss|drawdown|psychology""),""Trading Psychology / Risk Management"",
REGEXMATCH(LOWER(A496),""comm"&amp;"odity|crude|gold|natural gas""),""Commodity Trading Education"",
TRUE,""General Trading Education""
)
"),"General Trading Education")</f>
        <v>General Trading Education</v>
      </c>
    </row>
    <row r="497" ht="15.75" customHeight="1">
      <c r="A497" s="1" t="s">
        <v>2488</v>
      </c>
      <c r="B497" s="3" t="s">
        <v>2489</v>
      </c>
      <c r="C497" s="1" t="s">
        <v>2490</v>
      </c>
      <c r="D497" s="1" t="s">
        <v>2491</v>
      </c>
      <c r="E497" s="4">
        <v>44744.0</v>
      </c>
      <c r="F497" s="5">
        <v>0.5229166666666667</v>
      </c>
      <c r="G497" s="1">
        <v>10822.0</v>
      </c>
      <c r="H497" s="1">
        <v>548.0</v>
      </c>
      <c r="I497" s="1">
        <v>26.0</v>
      </c>
      <c r="J497" s="3" t="s">
        <v>2492</v>
      </c>
      <c r="K497" s="6">
        <f t="shared" si="1"/>
        <v>5.304010349</v>
      </c>
      <c r="L497" s="7">
        <f t="shared" si="2"/>
        <v>753</v>
      </c>
      <c r="M497" s="8">
        <f t="shared" si="3"/>
        <v>44739</v>
      </c>
      <c r="N497" s="9" t="str">
        <f>IFERROR(__xludf.DUMMYFUNCTION("IFS(
REGEXMATCH(LOWER(A497),""option|options""),""Options Strategy Education"",
REGEXMATCH(LOWER(A497),""bank nifty|nifty|index""),""Index Options"",
REGEXMATCH(LOWER(A497),""algo|api|systematic""),""Algo Trading / API Tutorial"",
REGEXMATCH(LOWER(A497),"&amp;"""groww|mtf|margin|pledge""),""Platform / Groww Feature Tutorial"",
REGEXMATCH(LOWER(A497),""candlestick|chart|price action|trendline|rsi|indicator""),""Technical Analysis / Chart Patterns"",
REGEXMATCH(LOWER(A497),""beginner|guide|start trading""),""Begi"&amp;"nner Trading Education"",
REGEXMATCH(LOWER(A497),""interview|journey|talks|wisdom""),""Expert Interview / Trading Insights"",
REGEXMATCH(LOWER(A497),""risk|loss|drawdown|psychology""),""Trading Psychology / Risk Management"",
REGEXMATCH(LOWER(A497),""comm"&amp;"odity|crude|gold|natural gas""),""Commodity Trading Education"",
TRUE,""General Trading Education""
)
"),"Beginner Trading Education")</f>
        <v>Beginner Trading Education</v>
      </c>
    </row>
    <row r="498" ht="15.75" customHeight="1">
      <c r="A498" s="1" t="s">
        <v>2493</v>
      </c>
      <c r="B498" s="3" t="s">
        <v>2494</v>
      </c>
      <c r="C498" s="1" t="s">
        <v>2495</v>
      </c>
      <c r="D498" s="1" t="s">
        <v>2496</v>
      </c>
      <c r="E498" s="4">
        <v>44742.0</v>
      </c>
      <c r="F498" s="5">
        <v>0.76875</v>
      </c>
      <c r="G498" s="1">
        <v>5139.0</v>
      </c>
      <c r="H498" s="1">
        <v>354.0</v>
      </c>
      <c r="I498" s="1">
        <v>18.0</v>
      </c>
      <c r="J498" s="3" t="s">
        <v>2497</v>
      </c>
      <c r="K498" s="6">
        <f t="shared" si="1"/>
        <v>7.238762405</v>
      </c>
      <c r="L498" s="7">
        <f t="shared" si="2"/>
        <v>1107</v>
      </c>
      <c r="M498" s="8">
        <f t="shared" si="3"/>
        <v>44739</v>
      </c>
      <c r="N498" s="9" t="str">
        <f>IFERROR(__xludf.DUMMYFUNCTION("IFS(
REGEXMATCH(LOWER(A498),""option|options""),""Options Strategy Education"",
REGEXMATCH(LOWER(A498),""bank nifty|nifty|index""),""Index Options"",
REGEXMATCH(LOWER(A498),""algo|api|systematic""),""Algo Trading / API Tutorial"",
REGEXMATCH(LOWER(A498),"&amp;"""groww|mtf|margin|pledge""),""Platform / Groww Feature Tutorial"",
REGEXMATCH(LOWER(A498),""candlestick|chart|price action|trendline|rsi|indicator""),""Technical Analysis / Chart Patterns"",
REGEXMATCH(LOWER(A498),""beginner|guide|start trading""),""Begi"&amp;"nner Trading Education"",
REGEXMATCH(LOWER(A498),""interview|journey|talks|wisdom""),""Expert Interview / Trading Insights"",
REGEXMATCH(LOWER(A498),""risk|loss|drawdown|psychology""),""Trading Psychology / Risk Management"",
REGEXMATCH(LOWER(A498),""comm"&amp;"odity|crude|gold|natural gas""),""Commodity Trading Education"",
TRUE,""General Trading Education""
)
"),"General Trading Education")</f>
        <v>General Trading Education</v>
      </c>
    </row>
    <row r="499" ht="15.75" customHeight="1">
      <c r="A499" s="1" t="s">
        <v>2498</v>
      </c>
      <c r="B499" s="3" t="s">
        <v>2499</v>
      </c>
      <c r="C499" s="1" t="s">
        <v>2500</v>
      </c>
      <c r="D499" s="1" t="s">
        <v>2501</v>
      </c>
      <c r="E499" s="4">
        <v>44741.0</v>
      </c>
      <c r="F499" s="5">
        <v>0.5451388888888888</v>
      </c>
      <c r="G499" s="1">
        <v>5835.0</v>
      </c>
      <c r="H499" s="1">
        <v>311.0</v>
      </c>
      <c r="I499" s="1">
        <v>8.0</v>
      </c>
      <c r="J499" s="3" t="s">
        <v>2502</v>
      </c>
      <c r="K499" s="6">
        <f t="shared" si="1"/>
        <v>5.467009426</v>
      </c>
      <c r="L499" s="7">
        <f t="shared" si="2"/>
        <v>785</v>
      </c>
      <c r="M499" s="8">
        <f t="shared" si="3"/>
        <v>44739</v>
      </c>
      <c r="N499" s="9" t="str">
        <f>IFERROR(__xludf.DUMMYFUNCTION("IFS(
REGEXMATCH(LOWER(A499),""option|options""),""Options Strategy Education"",
REGEXMATCH(LOWER(A499),""bank nifty|nifty|index""),""Index Options"",
REGEXMATCH(LOWER(A499),""algo|api|systematic""),""Algo Trading / API Tutorial"",
REGEXMATCH(LOWER(A499),"&amp;"""groww|mtf|margin|pledge""),""Platform / Groww Feature Tutorial"",
REGEXMATCH(LOWER(A499),""candlestick|chart|price action|trendline|rsi|indicator""),""Technical Analysis / Chart Patterns"",
REGEXMATCH(LOWER(A499),""beginner|guide|start trading""),""Begi"&amp;"nner Trading Education"",
REGEXMATCH(LOWER(A499),""interview|journey|talks|wisdom""),""Expert Interview / Trading Insights"",
REGEXMATCH(LOWER(A499),""risk|loss|drawdown|psychology""),""Trading Psychology / Risk Management"",
REGEXMATCH(LOWER(A499),""comm"&amp;"odity|crude|gold|natural gas""),""Commodity Trading Education"",
TRUE,""General Trading Education""
)
"),"General Trading Education")</f>
        <v>General Trading Education</v>
      </c>
    </row>
    <row r="500" ht="15.75" customHeight="1">
      <c r="A500" s="1" t="s">
        <v>2503</v>
      </c>
      <c r="B500" s="3" t="s">
        <v>2504</v>
      </c>
      <c r="C500" s="1" t="s">
        <v>2505</v>
      </c>
      <c r="D500" s="1" t="s">
        <v>2506</v>
      </c>
      <c r="E500" s="4">
        <v>44740.0</v>
      </c>
      <c r="F500" s="5">
        <v>0.575</v>
      </c>
      <c r="G500" s="1">
        <v>6763.0</v>
      </c>
      <c r="H500" s="1">
        <v>330.0</v>
      </c>
      <c r="I500" s="1">
        <v>10.0</v>
      </c>
      <c r="J500" s="3" t="s">
        <v>2507</v>
      </c>
      <c r="K500" s="6">
        <f t="shared" si="1"/>
        <v>5.027354724</v>
      </c>
      <c r="L500" s="7">
        <f t="shared" si="2"/>
        <v>828</v>
      </c>
      <c r="M500" s="8">
        <f t="shared" si="3"/>
        <v>44739</v>
      </c>
      <c r="N500" s="9" t="str">
        <f>IFERROR(__xludf.DUMMYFUNCTION("IFS(
REGEXMATCH(LOWER(A500),""option|options""),""Options Strategy Education"",
REGEXMATCH(LOWER(A500),""bank nifty|nifty|index""),""Index Options"",
REGEXMATCH(LOWER(A500),""algo|api|systematic""),""Algo Trading / API Tutorial"",
REGEXMATCH(LOWER(A500),"&amp;"""groww|mtf|margin|pledge""),""Platform / Groww Feature Tutorial"",
REGEXMATCH(LOWER(A500),""candlestick|chart|price action|trendline|rsi|indicator""),""Technical Analysis / Chart Patterns"",
REGEXMATCH(LOWER(A500),""beginner|guide|start trading""),""Begi"&amp;"nner Trading Education"",
REGEXMATCH(LOWER(A500),""interview|journey|talks|wisdom""),""Expert Interview / Trading Insights"",
REGEXMATCH(LOWER(A500),""risk|loss|drawdown|psychology""),""Trading Psychology / Risk Management"",
REGEXMATCH(LOWER(A500),""comm"&amp;"odity|crude|gold|natural gas""),""Commodity Trading Education"",
TRUE,""General Trading Education""
)
"),"Options Strategy Education")</f>
        <v>Options Strategy Education</v>
      </c>
    </row>
    <row r="501" ht="15.75" customHeight="1">
      <c r="A501" s="1" t="s">
        <v>2508</v>
      </c>
      <c r="B501" s="3" t="s">
        <v>2509</v>
      </c>
      <c r="C501" s="1" t="s">
        <v>2510</v>
      </c>
      <c r="D501" s="1" t="s">
        <v>2511</v>
      </c>
      <c r="E501" s="4">
        <v>44739.0</v>
      </c>
      <c r="F501" s="5">
        <v>0.7368055555555556</v>
      </c>
      <c r="G501" s="1">
        <v>9959.0</v>
      </c>
      <c r="H501" s="1">
        <v>626.0</v>
      </c>
      <c r="I501" s="1">
        <v>11.0</v>
      </c>
      <c r="J501" s="3" t="s">
        <v>2512</v>
      </c>
      <c r="K501" s="6">
        <f t="shared" si="1"/>
        <v>6.396224521</v>
      </c>
      <c r="L501" s="7">
        <f t="shared" si="2"/>
        <v>1061</v>
      </c>
      <c r="M501" s="8">
        <f t="shared" si="3"/>
        <v>44739</v>
      </c>
      <c r="N501" s="9" t="str">
        <f>IFERROR(__xludf.DUMMYFUNCTION("IFS(
REGEXMATCH(LOWER(A501),""option|options""),""Options Strategy Education"",
REGEXMATCH(LOWER(A501),""bank nifty|nifty|index""),""Index Options"",
REGEXMATCH(LOWER(A501),""algo|api|systematic""),""Algo Trading / API Tutorial"",
REGEXMATCH(LOWER(A501),"&amp;"""groww|mtf|margin|pledge""),""Platform / Groww Feature Tutorial"",
REGEXMATCH(LOWER(A501),""candlestick|chart|price action|trendline|rsi|indicator""),""Technical Analysis / Chart Patterns"",
REGEXMATCH(LOWER(A501),""beginner|guide|start trading""),""Begi"&amp;"nner Trading Education"",
REGEXMATCH(LOWER(A501),""interview|journey|talks|wisdom""),""Expert Interview / Trading Insights"",
REGEXMATCH(LOWER(A501),""risk|loss|drawdown|psychology""),""Trading Psychology / Risk Management"",
REGEXMATCH(LOWER(A501),""comm"&amp;"odity|crude|gold|natural gas""),""Commodity Trading Education"",
TRUE,""General Trading Education""
)
"),"Beginner Trading Education")</f>
        <v>Beginner Trading Education</v>
      </c>
    </row>
    <row r="502" ht="15.75" customHeight="1">
      <c r="A502" s="1" t="s">
        <v>2513</v>
      </c>
      <c r="B502" s="3" t="s">
        <v>2514</v>
      </c>
      <c r="C502" s="1" t="s">
        <v>2515</v>
      </c>
      <c r="D502" s="1" t="s">
        <v>2516</v>
      </c>
      <c r="E502" s="4">
        <v>44738.0</v>
      </c>
      <c r="F502" s="5">
        <v>0.6493055555555556</v>
      </c>
      <c r="G502" s="1">
        <v>29009.0</v>
      </c>
      <c r="H502" s="1">
        <v>1359.0</v>
      </c>
      <c r="I502" s="1">
        <v>38.0</v>
      </c>
      <c r="J502" s="3" t="s">
        <v>2517</v>
      </c>
      <c r="K502" s="6">
        <f t="shared" si="1"/>
        <v>4.815746837</v>
      </c>
      <c r="L502" s="7">
        <f t="shared" si="2"/>
        <v>935</v>
      </c>
      <c r="M502" s="8">
        <f t="shared" si="3"/>
        <v>44732</v>
      </c>
      <c r="N502" s="9" t="str">
        <f>IFERROR(__xludf.DUMMYFUNCTION("IFS(
REGEXMATCH(LOWER(A502),""option|options""),""Options Strategy Education"",
REGEXMATCH(LOWER(A502),""bank nifty|nifty|index""),""Index Options"",
REGEXMATCH(LOWER(A502),""algo|api|systematic""),""Algo Trading / API Tutorial"",
REGEXMATCH(LOWER(A502),"&amp;"""groww|mtf|margin|pledge""),""Platform / Groww Feature Tutorial"",
REGEXMATCH(LOWER(A502),""candlestick|chart|price action|trendline|rsi|indicator""),""Technical Analysis / Chart Patterns"",
REGEXMATCH(LOWER(A502),""beginner|guide|start trading""),""Begi"&amp;"nner Trading Education"",
REGEXMATCH(LOWER(A502),""interview|journey|talks|wisdom""),""Expert Interview / Trading Insights"",
REGEXMATCH(LOWER(A502),""risk|loss|drawdown|psychology""),""Trading Psychology / Risk Management"",
REGEXMATCH(LOWER(A502),""comm"&amp;"odity|crude|gold|natural gas""),""Commodity Trading Education"",
TRUE,""General Trading Education""
)
"),"Options Strategy Education")</f>
        <v>Options Strategy Education</v>
      </c>
    </row>
    <row r="503" ht="15.75" customHeight="1">
      <c r="A503" s="1" t="s">
        <v>2518</v>
      </c>
      <c r="B503" s="3" t="s">
        <v>2519</v>
      </c>
      <c r="C503" s="1" t="s">
        <v>2520</v>
      </c>
      <c r="D503" s="1" t="s">
        <v>2521</v>
      </c>
      <c r="E503" s="4">
        <v>44736.0</v>
      </c>
      <c r="F503" s="5">
        <v>0.46875</v>
      </c>
      <c r="G503" s="1">
        <v>204466.0</v>
      </c>
      <c r="H503" s="1">
        <v>7537.0</v>
      </c>
      <c r="I503" s="1">
        <v>126.0</v>
      </c>
      <c r="J503" s="3" t="s">
        <v>2522</v>
      </c>
      <c r="K503" s="6">
        <f t="shared" si="1"/>
        <v>3.747811372</v>
      </c>
      <c r="L503" s="7">
        <f t="shared" si="2"/>
        <v>675</v>
      </c>
      <c r="M503" s="8">
        <f t="shared" si="3"/>
        <v>44732</v>
      </c>
      <c r="N503" s="9" t="str">
        <f>IFERROR(__xludf.DUMMYFUNCTION("IFS(
REGEXMATCH(LOWER(A503),""option|options""),""Options Strategy Education"",
REGEXMATCH(LOWER(A503),""bank nifty|nifty|index""),""Index Options"",
REGEXMATCH(LOWER(A503),""algo|api|systematic""),""Algo Trading / API Tutorial"",
REGEXMATCH(LOWER(A503),"&amp;"""groww|mtf|margin|pledge""),""Platform / Groww Feature Tutorial"",
REGEXMATCH(LOWER(A503),""candlestick|chart|price action|trendline|rsi|indicator""),""Technical Analysis / Chart Patterns"",
REGEXMATCH(LOWER(A503),""beginner|guide|start trading""),""Begi"&amp;"nner Trading Education"",
REGEXMATCH(LOWER(A503),""interview|journey|talks|wisdom""),""Expert Interview / Trading Insights"",
REGEXMATCH(LOWER(A503),""risk|loss|drawdown|psychology""),""Trading Psychology / Risk Management"",
REGEXMATCH(LOWER(A503),""comm"&amp;"odity|crude|gold|natural gas""),""Commodity Trading Education"",
TRUE,""General Trading Education""
)
"),"General Trading Education")</f>
        <v>General Trading Education</v>
      </c>
    </row>
    <row r="504" ht="15.75" customHeight="1">
      <c r="A504" s="1" t="s">
        <v>2523</v>
      </c>
      <c r="B504" s="3" t="s">
        <v>2524</v>
      </c>
      <c r="C504" s="1" t="s">
        <v>2525</v>
      </c>
      <c r="D504" s="1" t="s">
        <v>2526</v>
      </c>
      <c r="E504" s="4">
        <v>44735.0</v>
      </c>
      <c r="F504" s="5">
        <v>0.4</v>
      </c>
      <c r="G504" s="1">
        <v>4427.0</v>
      </c>
      <c r="H504" s="1">
        <v>281.0</v>
      </c>
      <c r="I504" s="1">
        <v>14.0</v>
      </c>
      <c r="J504" s="3" t="s">
        <v>2527</v>
      </c>
      <c r="K504" s="6">
        <f t="shared" si="1"/>
        <v>6.663654845</v>
      </c>
      <c r="L504" s="7">
        <f t="shared" si="2"/>
        <v>576</v>
      </c>
      <c r="M504" s="8">
        <f t="shared" si="3"/>
        <v>44732</v>
      </c>
      <c r="N504" s="9" t="str">
        <f>IFERROR(__xludf.DUMMYFUNCTION("IFS(
REGEXMATCH(LOWER(A504),""option|options""),""Options Strategy Education"",
REGEXMATCH(LOWER(A504),""bank nifty|nifty|index""),""Index Options"",
REGEXMATCH(LOWER(A504),""algo|api|systematic""),""Algo Trading / API Tutorial"",
REGEXMATCH(LOWER(A504),"&amp;"""groww|mtf|margin|pledge""),""Platform / Groww Feature Tutorial"",
REGEXMATCH(LOWER(A504),""candlestick|chart|price action|trendline|rsi|indicator""),""Technical Analysis / Chart Patterns"",
REGEXMATCH(LOWER(A504),""beginner|guide|start trading""),""Begi"&amp;"nner Trading Education"",
REGEXMATCH(LOWER(A504),""interview|journey|talks|wisdom""),""Expert Interview / Trading Insights"",
REGEXMATCH(LOWER(A504),""risk|loss|drawdown|psychology""),""Trading Psychology / Risk Management"",
REGEXMATCH(LOWER(A504),""comm"&amp;"odity|crude|gold|natural gas""),""Commodity Trading Education"",
TRUE,""General Trading Education""
)
"),"General Trading Education")</f>
        <v>General Trading Education</v>
      </c>
    </row>
    <row r="505" ht="15.75" customHeight="1">
      <c r="A505" s="1" t="s">
        <v>2528</v>
      </c>
      <c r="B505" s="3" t="s">
        <v>2529</v>
      </c>
      <c r="C505" s="1" t="s">
        <v>2530</v>
      </c>
      <c r="D505" s="1" t="s">
        <v>2531</v>
      </c>
      <c r="E505" s="4">
        <v>44734.0</v>
      </c>
      <c r="F505" s="10">
        <v>2.1333333333333333</v>
      </c>
      <c r="G505" s="1">
        <v>19318.0</v>
      </c>
      <c r="H505" s="1">
        <v>597.0</v>
      </c>
      <c r="I505" s="1">
        <v>13.0</v>
      </c>
      <c r="J505" s="3" t="s">
        <v>2532</v>
      </c>
      <c r="K505" s="6">
        <f t="shared" si="1"/>
        <v>3.157676778</v>
      </c>
      <c r="L505" s="7">
        <f t="shared" si="2"/>
        <v>3072</v>
      </c>
      <c r="M505" s="8">
        <f t="shared" si="3"/>
        <v>44732</v>
      </c>
      <c r="N505" s="9" t="str">
        <f>IFERROR(__xludf.DUMMYFUNCTION("IFS(
REGEXMATCH(LOWER(A505),""option|options""),""Options Strategy Education"",
REGEXMATCH(LOWER(A505),""bank nifty|nifty|index""),""Index Options"",
REGEXMATCH(LOWER(A505),""algo|api|systematic""),""Algo Trading / API Tutorial"",
REGEXMATCH(LOWER(A505),"&amp;"""groww|mtf|margin|pledge""),""Platform / Groww Feature Tutorial"",
REGEXMATCH(LOWER(A505),""candlestick|chart|price action|trendline|rsi|indicator""),""Technical Analysis / Chart Patterns"",
REGEXMATCH(LOWER(A505),""beginner|guide|start trading""),""Begi"&amp;"nner Trading Education"",
REGEXMATCH(LOWER(A505),""interview|journey|talks|wisdom""),""Expert Interview / Trading Insights"",
REGEXMATCH(LOWER(A505),""risk|loss|drawdown|psychology""),""Trading Psychology / Risk Management"",
REGEXMATCH(LOWER(A505),""comm"&amp;"odity|crude|gold|natural gas""),""Commodity Trading Education"",
TRUE,""General Trading Education""
)
"),"General Trading Education")</f>
        <v>General Trading Education</v>
      </c>
    </row>
    <row r="506" ht="15.75" customHeight="1">
      <c r="A506" s="1" t="s">
        <v>2533</v>
      </c>
      <c r="B506" s="3" t="s">
        <v>2534</v>
      </c>
      <c r="C506" s="1" t="s">
        <v>2535</v>
      </c>
      <c r="D506" s="1" t="s">
        <v>2536</v>
      </c>
      <c r="E506" s="4">
        <v>44733.0</v>
      </c>
      <c r="F506" s="5">
        <v>0.4409722222222222</v>
      </c>
      <c r="G506" s="1">
        <v>5809.0</v>
      </c>
      <c r="H506" s="1">
        <v>415.0</v>
      </c>
      <c r="I506" s="1">
        <v>27.0</v>
      </c>
      <c r="J506" s="3" t="s">
        <v>2537</v>
      </c>
      <c r="K506" s="6">
        <f t="shared" si="1"/>
        <v>7.608882768</v>
      </c>
      <c r="L506" s="7">
        <f t="shared" si="2"/>
        <v>635</v>
      </c>
      <c r="M506" s="8">
        <f t="shared" si="3"/>
        <v>44732</v>
      </c>
      <c r="N506" s="9" t="str">
        <f>IFERROR(__xludf.DUMMYFUNCTION("IFS(
REGEXMATCH(LOWER(A506),""option|options""),""Options Strategy Education"",
REGEXMATCH(LOWER(A506),""bank nifty|nifty|index""),""Index Options"",
REGEXMATCH(LOWER(A506),""algo|api|systematic""),""Algo Trading / API Tutorial"",
REGEXMATCH(LOWER(A506),"&amp;"""groww|mtf|margin|pledge""),""Platform / Groww Feature Tutorial"",
REGEXMATCH(LOWER(A506),""candlestick|chart|price action|trendline|rsi|indicator""),""Technical Analysis / Chart Patterns"",
REGEXMATCH(LOWER(A506),""beginner|guide|start trading""),""Begi"&amp;"nner Trading Education"",
REGEXMATCH(LOWER(A506),""interview|journey|talks|wisdom""),""Expert Interview / Trading Insights"",
REGEXMATCH(LOWER(A506),""risk|loss|drawdown|psychology""),""Trading Psychology / Risk Management"",
REGEXMATCH(LOWER(A506),""comm"&amp;"odity|crude|gold|natural gas""),""Commodity Trading Education"",
TRUE,""General Trading Education""
)
"),"Beginner Trading Education")</f>
        <v>Beginner Trading Education</v>
      </c>
    </row>
    <row r="507" ht="15.75" customHeight="1">
      <c r="A507" s="1" t="s">
        <v>2538</v>
      </c>
      <c r="B507" s="3" t="s">
        <v>2539</v>
      </c>
      <c r="C507" s="1" t="s">
        <v>2540</v>
      </c>
      <c r="D507" s="1" t="s">
        <v>2541</v>
      </c>
      <c r="E507" s="4">
        <v>44731.0</v>
      </c>
      <c r="F507" s="5">
        <v>0.35347222222222224</v>
      </c>
      <c r="G507" s="1">
        <v>4478.0</v>
      </c>
      <c r="H507" s="1">
        <v>290.0</v>
      </c>
      <c r="I507" s="1">
        <v>9.0</v>
      </c>
      <c r="J507" s="3" t="s">
        <v>2542</v>
      </c>
      <c r="K507" s="6">
        <f t="shared" si="1"/>
        <v>6.677087986</v>
      </c>
      <c r="L507" s="7">
        <f t="shared" si="2"/>
        <v>509</v>
      </c>
      <c r="M507" s="8">
        <f t="shared" si="3"/>
        <v>44725</v>
      </c>
      <c r="N507" s="9" t="str">
        <f>IFERROR(__xludf.DUMMYFUNCTION("IFS(
REGEXMATCH(LOWER(A507),""option|options""),""Options Strategy Education"",
REGEXMATCH(LOWER(A507),""bank nifty|nifty|index""),""Index Options"",
REGEXMATCH(LOWER(A507),""algo|api|systematic""),""Algo Trading / API Tutorial"",
REGEXMATCH(LOWER(A507),"&amp;"""groww|mtf|margin|pledge""),""Platform / Groww Feature Tutorial"",
REGEXMATCH(LOWER(A507),""candlestick|chart|price action|trendline|rsi|indicator""),""Technical Analysis / Chart Patterns"",
REGEXMATCH(LOWER(A507),""beginner|guide|start trading""),""Begi"&amp;"nner Trading Education"",
REGEXMATCH(LOWER(A507),""interview|journey|talks|wisdom""),""Expert Interview / Trading Insights"",
REGEXMATCH(LOWER(A507),""risk|loss|drawdown|psychology""),""Trading Psychology / Risk Management"",
REGEXMATCH(LOWER(A507),""comm"&amp;"odity|crude|gold|natural gas""),""Commodity Trading Education"",
TRUE,""General Trading Education""
)
"),"General Trading Education")</f>
        <v>General Trading Education</v>
      </c>
    </row>
    <row r="508" ht="15.75" customHeight="1">
      <c r="A508" s="1" t="s">
        <v>2543</v>
      </c>
      <c r="B508" s="3" t="s">
        <v>2544</v>
      </c>
      <c r="C508" s="1" t="s">
        <v>2545</v>
      </c>
      <c r="D508" s="1" t="s">
        <v>2546</v>
      </c>
      <c r="E508" s="4">
        <v>44729.0</v>
      </c>
      <c r="F508" s="5">
        <v>0.5076388888888889</v>
      </c>
      <c r="G508" s="1">
        <v>9003.0</v>
      </c>
      <c r="H508" s="1">
        <v>388.0</v>
      </c>
      <c r="I508" s="1">
        <v>15.0</v>
      </c>
      <c r="J508" s="3" t="s">
        <v>2547</v>
      </c>
      <c r="K508" s="6">
        <f t="shared" si="1"/>
        <v>4.476285683</v>
      </c>
      <c r="L508" s="7">
        <f t="shared" si="2"/>
        <v>731</v>
      </c>
      <c r="M508" s="8">
        <f t="shared" si="3"/>
        <v>44725</v>
      </c>
      <c r="N508" s="9" t="str">
        <f>IFERROR(__xludf.DUMMYFUNCTION("IFS(
REGEXMATCH(LOWER(A508),""option|options""),""Options Strategy Education"",
REGEXMATCH(LOWER(A508),""bank nifty|nifty|index""),""Index Options"",
REGEXMATCH(LOWER(A508),""algo|api|systematic""),""Algo Trading / API Tutorial"",
REGEXMATCH(LOWER(A508),"&amp;"""groww|mtf|margin|pledge""),""Platform / Groww Feature Tutorial"",
REGEXMATCH(LOWER(A508),""candlestick|chart|price action|trendline|rsi|indicator""),""Technical Analysis / Chart Patterns"",
REGEXMATCH(LOWER(A508),""beginner|guide|start trading""),""Begi"&amp;"nner Trading Education"",
REGEXMATCH(LOWER(A508),""interview|journey|talks|wisdom""),""Expert Interview / Trading Insights"",
REGEXMATCH(LOWER(A508),""risk|loss|drawdown|psychology""),""Trading Psychology / Risk Management"",
REGEXMATCH(LOWER(A508),""comm"&amp;"odity|crude|gold|natural gas""),""Commodity Trading Education"",
TRUE,""General Trading Education""
)
"),"Beginner Trading Education")</f>
        <v>Beginner Trading Education</v>
      </c>
    </row>
    <row r="509" ht="15.75" customHeight="1">
      <c r="A509" s="1" t="s">
        <v>2548</v>
      </c>
      <c r="B509" s="3" t="s">
        <v>2549</v>
      </c>
      <c r="C509" s="1" t="s">
        <v>2550</v>
      </c>
      <c r="D509" s="1" t="s">
        <v>2551</v>
      </c>
      <c r="E509" s="4">
        <v>44727.0</v>
      </c>
      <c r="F509" s="5">
        <v>0.4048611111111111</v>
      </c>
      <c r="G509" s="1">
        <v>42603.0</v>
      </c>
      <c r="H509" s="1">
        <v>1533.0</v>
      </c>
      <c r="I509" s="1">
        <v>38.0</v>
      </c>
      <c r="J509" s="3" t="s">
        <v>2552</v>
      </c>
      <c r="K509" s="6">
        <f t="shared" si="1"/>
        <v>3.687533742</v>
      </c>
      <c r="L509" s="7">
        <f t="shared" si="2"/>
        <v>583</v>
      </c>
      <c r="M509" s="8">
        <f t="shared" si="3"/>
        <v>44725</v>
      </c>
      <c r="N509" s="9" t="str">
        <f>IFERROR(__xludf.DUMMYFUNCTION("IFS(
REGEXMATCH(LOWER(A509),""option|options""),""Options Strategy Education"",
REGEXMATCH(LOWER(A509),""bank nifty|nifty|index""),""Index Options"",
REGEXMATCH(LOWER(A509),""algo|api|systematic""),""Algo Trading / API Tutorial"",
REGEXMATCH(LOWER(A509),"&amp;"""groww|mtf|margin|pledge""),""Platform / Groww Feature Tutorial"",
REGEXMATCH(LOWER(A509),""candlestick|chart|price action|trendline|rsi|indicator""),""Technical Analysis / Chart Patterns"",
REGEXMATCH(LOWER(A509),""beginner|guide|start trading""),""Begi"&amp;"nner Trading Education"",
REGEXMATCH(LOWER(A509),""interview|journey|talks|wisdom""),""Expert Interview / Trading Insights"",
REGEXMATCH(LOWER(A509),""risk|loss|drawdown|psychology""),""Trading Psychology / Risk Management"",
REGEXMATCH(LOWER(A509),""comm"&amp;"odity|crude|gold|natural gas""),""Commodity Trading Education"",
TRUE,""General Trading Education""
)
"),"Options Strategy Education")</f>
        <v>Options Strategy Education</v>
      </c>
    </row>
    <row r="510" ht="15.75" customHeight="1">
      <c r="A510" s="1" t="s">
        <v>2553</v>
      </c>
      <c r="B510" s="3" t="s">
        <v>2554</v>
      </c>
      <c r="C510" s="1" t="s">
        <v>2555</v>
      </c>
      <c r="D510" s="1" t="s">
        <v>2556</v>
      </c>
      <c r="E510" s="4">
        <v>44725.0</v>
      </c>
      <c r="F510" s="5">
        <v>0.48680555555555555</v>
      </c>
      <c r="G510" s="1">
        <v>28674.0</v>
      </c>
      <c r="H510" s="1">
        <v>1128.0</v>
      </c>
      <c r="I510" s="1">
        <v>20.0</v>
      </c>
      <c r="J510" s="3" t="s">
        <v>2557</v>
      </c>
      <c r="K510" s="6">
        <f t="shared" si="1"/>
        <v>4.003626979</v>
      </c>
      <c r="L510" s="7">
        <f t="shared" si="2"/>
        <v>701</v>
      </c>
      <c r="M510" s="8">
        <f t="shared" si="3"/>
        <v>44725</v>
      </c>
      <c r="N510" s="9" t="str">
        <f>IFERROR(__xludf.DUMMYFUNCTION("IFS(
REGEXMATCH(LOWER(A510),""option|options""),""Options Strategy Education"",
REGEXMATCH(LOWER(A510),""bank nifty|nifty|index""),""Index Options"",
REGEXMATCH(LOWER(A510),""algo|api|systematic""),""Algo Trading / API Tutorial"",
REGEXMATCH(LOWER(A510),"&amp;"""groww|mtf|margin|pledge""),""Platform / Groww Feature Tutorial"",
REGEXMATCH(LOWER(A510),""candlestick|chart|price action|trendline|rsi|indicator""),""Technical Analysis / Chart Patterns"",
REGEXMATCH(LOWER(A510),""beginner|guide|start trading""),""Begi"&amp;"nner Trading Education"",
REGEXMATCH(LOWER(A510),""interview|journey|talks|wisdom""),""Expert Interview / Trading Insights"",
REGEXMATCH(LOWER(A510),""risk|loss|drawdown|psychology""),""Trading Psychology / Risk Management"",
REGEXMATCH(LOWER(A510),""comm"&amp;"odity|crude|gold|natural gas""),""Commodity Trading Education"",
TRUE,""General Trading Education""
)
"),"General Trading Education")</f>
        <v>General Trading Education</v>
      </c>
    </row>
    <row r="511" ht="15.75" customHeight="1">
      <c r="A511" s="1" t="s">
        <v>2558</v>
      </c>
      <c r="B511" s="3" t="s">
        <v>2559</v>
      </c>
      <c r="C511" s="1" t="s">
        <v>2560</v>
      </c>
      <c r="D511" s="1" t="s">
        <v>2561</v>
      </c>
      <c r="E511" s="4">
        <v>44724.0</v>
      </c>
      <c r="F511" s="5">
        <v>0.5020833333333333</v>
      </c>
      <c r="G511" s="1">
        <v>18912.0</v>
      </c>
      <c r="H511" s="1">
        <v>600.0</v>
      </c>
      <c r="I511" s="1">
        <v>14.0</v>
      </c>
      <c r="J511" s="3" t="s">
        <v>2562</v>
      </c>
      <c r="K511" s="6">
        <f t="shared" si="1"/>
        <v>3.246615905</v>
      </c>
      <c r="L511" s="7">
        <f t="shared" si="2"/>
        <v>723</v>
      </c>
      <c r="M511" s="8">
        <f t="shared" si="3"/>
        <v>44718</v>
      </c>
      <c r="N511" s="9" t="str">
        <f>IFERROR(__xludf.DUMMYFUNCTION("IFS(
REGEXMATCH(LOWER(A511),""option|options""),""Options Strategy Education"",
REGEXMATCH(LOWER(A511),""bank nifty|nifty|index""),""Index Options"",
REGEXMATCH(LOWER(A511),""algo|api|systematic""),""Algo Trading / API Tutorial"",
REGEXMATCH(LOWER(A511),"&amp;"""groww|mtf|margin|pledge""),""Platform / Groww Feature Tutorial"",
REGEXMATCH(LOWER(A511),""candlestick|chart|price action|trendline|rsi|indicator""),""Technical Analysis / Chart Patterns"",
REGEXMATCH(LOWER(A511),""beginner|guide|start trading""),""Begi"&amp;"nner Trading Education"",
REGEXMATCH(LOWER(A511),""interview|journey|talks|wisdom""),""Expert Interview / Trading Insights"",
REGEXMATCH(LOWER(A511),""risk|loss|drawdown|psychology""),""Trading Psychology / Risk Management"",
REGEXMATCH(LOWER(A511),""comm"&amp;"odity|crude|gold|natural gas""),""Commodity Trading Education"",
TRUE,""General Trading Education""
)
"),"General Trading Education")</f>
        <v>General Trading Education</v>
      </c>
    </row>
    <row r="512" ht="15.75" customHeight="1">
      <c r="A512" s="1" t="s">
        <v>2563</v>
      </c>
      <c r="B512" s="3" t="s">
        <v>2564</v>
      </c>
      <c r="C512" s="1" t="s">
        <v>2565</v>
      </c>
      <c r="D512" s="1" t="s">
        <v>2566</v>
      </c>
      <c r="E512" s="4">
        <v>44721.0</v>
      </c>
      <c r="F512" s="5">
        <v>0.3784722222222222</v>
      </c>
      <c r="G512" s="1">
        <v>53944.0</v>
      </c>
      <c r="H512" s="1">
        <v>2109.0</v>
      </c>
      <c r="I512" s="1">
        <v>45.0</v>
      </c>
      <c r="J512" s="3" t="s">
        <v>2567</v>
      </c>
      <c r="K512" s="6">
        <f t="shared" si="1"/>
        <v>3.993029809</v>
      </c>
      <c r="L512" s="7">
        <f t="shared" si="2"/>
        <v>545</v>
      </c>
      <c r="M512" s="8">
        <f t="shared" si="3"/>
        <v>44718</v>
      </c>
      <c r="N512" s="9" t="str">
        <f>IFERROR(__xludf.DUMMYFUNCTION("IFS(
REGEXMATCH(LOWER(A512),""option|options""),""Options Strategy Education"",
REGEXMATCH(LOWER(A512),""bank nifty|nifty|index""),""Index Options"",
REGEXMATCH(LOWER(A512),""algo|api|systematic""),""Algo Trading / API Tutorial"",
REGEXMATCH(LOWER(A512),"&amp;"""groww|mtf|margin|pledge""),""Platform / Groww Feature Tutorial"",
REGEXMATCH(LOWER(A512),""candlestick|chart|price action|trendline|rsi|indicator""),""Technical Analysis / Chart Patterns"",
REGEXMATCH(LOWER(A512),""beginner|guide|start trading""),""Begi"&amp;"nner Trading Education"",
REGEXMATCH(LOWER(A512),""interview|journey|talks|wisdom""),""Expert Interview / Trading Insights"",
REGEXMATCH(LOWER(A512),""risk|loss|drawdown|psychology""),""Trading Psychology / Risk Management"",
REGEXMATCH(LOWER(A512),""comm"&amp;"odity|crude|gold|natural gas""),""Commodity Trading Education"",
TRUE,""General Trading Education""
)
"),"Beginner Trading Education")</f>
        <v>Beginner Trading Education</v>
      </c>
    </row>
    <row r="513" ht="15.75" customHeight="1">
      <c r="A513" s="1" t="s">
        <v>2568</v>
      </c>
      <c r="B513" s="3" t="s">
        <v>2569</v>
      </c>
      <c r="C513" s="1" t="s">
        <v>2570</v>
      </c>
      <c r="D513" s="1" t="s">
        <v>2571</v>
      </c>
      <c r="E513" s="4">
        <v>44719.0</v>
      </c>
      <c r="F513" s="5">
        <v>0.47152777777777777</v>
      </c>
      <c r="G513" s="1">
        <v>54970.0</v>
      </c>
      <c r="H513" s="1">
        <v>2105.0</v>
      </c>
      <c r="I513" s="1">
        <v>43.0</v>
      </c>
      <c r="J513" s="3" t="s">
        <v>2572</v>
      </c>
      <c r="K513" s="6">
        <f t="shared" si="1"/>
        <v>3.907585956</v>
      </c>
      <c r="L513" s="7">
        <f t="shared" si="2"/>
        <v>679</v>
      </c>
      <c r="M513" s="8">
        <f t="shared" si="3"/>
        <v>44718</v>
      </c>
      <c r="N513" s="9" t="str">
        <f>IFERROR(__xludf.DUMMYFUNCTION("IFS(
REGEXMATCH(LOWER(A513),""option|options""),""Options Strategy Education"",
REGEXMATCH(LOWER(A513),""bank nifty|nifty|index""),""Index Options"",
REGEXMATCH(LOWER(A513),""algo|api|systematic""),""Algo Trading / API Tutorial"",
REGEXMATCH(LOWER(A513),"&amp;"""groww|mtf|margin|pledge""),""Platform / Groww Feature Tutorial"",
REGEXMATCH(LOWER(A513),""candlestick|chart|price action|trendline|rsi|indicator""),""Technical Analysis / Chart Patterns"",
REGEXMATCH(LOWER(A513),""beginner|guide|start trading""),""Begi"&amp;"nner Trading Education"",
REGEXMATCH(LOWER(A513),""interview|journey|talks|wisdom""),""Expert Interview / Trading Insights"",
REGEXMATCH(LOWER(A513),""risk|loss|drawdown|psychology""),""Trading Psychology / Risk Management"",
REGEXMATCH(LOWER(A513),""comm"&amp;"odity|crude|gold|natural gas""),""Commodity Trading Education"",
TRUE,""General Trading Education""
)
"),"General Trading Education")</f>
        <v>General Trading Education</v>
      </c>
    </row>
    <row r="514" ht="15.75" customHeight="1">
      <c r="A514" s="1" t="s">
        <v>2573</v>
      </c>
      <c r="B514" s="3" t="s">
        <v>2574</v>
      </c>
      <c r="C514" s="1" t="s">
        <v>2575</v>
      </c>
      <c r="D514" s="1" t="s">
        <v>2576</v>
      </c>
      <c r="E514" s="4">
        <v>44715.0</v>
      </c>
      <c r="F514" s="5">
        <v>0.48194444444444445</v>
      </c>
      <c r="G514" s="1">
        <v>4938.0</v>
      </c>
      <c r="H514" s="1">
        <v>320.0</v>
      </c>
      <c r="I514" s="1">
        <v>5.0</v>
      </c>
      <c r="J514" s="3" t="s">
        <v>2577</v>
      </c>
      <c r="K514" s="6">
        <f t="shared" si="1"/>
        <v>6.581611989</v>
      </c>
      <c r="L514" s="7">
        <f t="shared" si="2"/>
        <v>694</v>
      </c>
      <c r="M514" s="8">
        <f t="shared" si="3"/>
        <v>44711</v>
      </c>
      <c r="N514" s="9" t="str">
        <f>IFERROR(__xludf.DUMMYFUNCTION("IFS(
REGEXMATCH(LOWER(A514),""option|options""),""Options Strategy Education"",
REGEXMATCH(LOWER(A514),""bank nifty|nifty|index""),""Index Options"",
REGEXMATCH(LOWER(A514),""algo|api|systematic""),""Algo Trading / API Tutorial"",
REGEXMATCH(LOWER(A514),"&amp;"""groww|mtf|margin|pledge""),""Platform / Groww Feature Tutorial"",
REGEXMATCH(LOWER(A514),""candlestick|chart|price action|trendline|rsi|indicator""),""Technical Analysis / Chart Patterns"",
REGEXMATCH(LOWER(A514),""beginner|guide|start trading""),""Begi"&amp;"nner Trading Education"",
REGEXMATCH(LOWER(A514),""interview|journey|talks|wisdom""),""Expert Interview / Trading Insights"",
REGEXMATCH(LOWER(A514),""risk|loss|drawdown|psychology""),""Trading Psychology / Risk Management"",
REGEXMATCH(LOWER(A514),""comm"&amp;"odity|crude|gold|natural gas""),""Commodity Trading Education"",
TRUE,""General Trading Education""
)
"),"Technical Analysis / Chart Patterns")</f>
        <v>Technical Analysis / Chart Patterns</v>
      </c>
    </row>
    <row r="515" ht="15.75" customHeight="1">
      <c r="A515" s="1" t="s">
        <v>2578</v>
      </c>
      <c r="B515" s="3" t="s">
        <v>2579</v>
      </c>
      <c r="C515" s="1" t="s">
        <v>2580</v>
      </c>
      <c r="D515" s="1" t="s">
        <v>2581</v>
      </c>
      <c r="E515" s="4">
        <v>44713.0</v>
      </c>
      <c r="F515" s="5">
        <v>0.5013888888888889</v>
      </c>
      <c r="G515" s="1">
        <v>26890.0</v>
      </c>
      <c r="H515" s="1">
        <v>818.0</v>
      </c>
      <c r="I515" s="1">
        <v>39.0</v>
      </c>
      <c r="J515" s="3" t="s">
        <v>2582</v>
      </c>
      <c r="K515" s="6">
        <f t="shared" si="1"/>
        <v>3.187058386</v>
      </c>
      <c r="L515" s="7">
        <f t="shared" si="2"/>
        <v>722</v>
      </c>
      <c r="M515" s="8">
        <f t="shared" si="3"/>
        <v>44711</v>
      </c>
      <c r="N515" s="9" t="str">
        <f>IFERROR(__xludf.DUMMYFUNCTION("IFS(
REGEXMATCH(LOWER(A515),""option|options""),""Options Strategy Education"",
REGEXMATCH(LOWER(A515),""bank nifty|nifty|index""),""Index Options"",
REGEXMATCH(LOWER(A515),""algo|api|systematic""),""Algo Trading / API Tutorial"",
REGEXMATCH(LOWER(A515),"&amp;"""groww|mtf|margin|pledge""),""Platform / Groww Feature Tutorial"",
REGEXMATCH(LOWER(A515),""candlestick|chart|price action|trendline|rsi|indicator""),""Technical Analysis / Chart Patterns"",
REGEXMATCH(LOWER(A515),""beginner|guide|start trading""),""Begi"&amp;"nner Trading Education"",
REGEXMATCH(LOWER(A515),""interview|journey|talks|wisdom""),""Expert Interview / Trading Insights"",
REGEXMATCH(LOWER(A515),""risk|loss|drawdown|psychology""),""Trading Psychology / Risk Management"",
REGEXMATCH(LOWER(A515),""comm"&amp;"odity|crude|gold|natural gas""),""Commodity Trading Education"",
TRUE,""General Trading Education""
)
"),"Beginner Trading Education")</f>
        <v>Beginner Trading Education</v>
      </c>
    </row>
    <row r="516" ht="15.75" customHeight="1">
      <c r="A516" s="1" t="s">
        <v>2583</v>
      </c>
      <c r="B516" s="3" t="s">
        <v>2584</v>
      </c>
      <c r="C516" s="1" t="s">
        <v>2585</v>
      </c>
      <c r="D516" s="1" t="s">
        <v>2586</v>
      </c>
      <c r="E516" s="4">
        <v>44712.0</v>
      </c>
      <c r="F516" s="5">
        <v>0.6298611111111111</v>
      </c>
      <c r="G516" s="1">
        <v>46210.0</v>
      </c>
      <c r="H516" s="1">
        <v>1708.0</v>
      </c>
      <c r="I516" s="1">
        <v>74.0</v>
      </c>
      <c r="J516" s="3" t="s">
        <v>2587</v>
      </c>
      <c r="K516" s="6">
        <f t="shared" si="1"/>
        <v>3.856308158</v>
      </c>
      <c r="L516" s="7">
        <f t="shared" si="2"/>
        <v>907</v>
      </c>
      <c r="M516" s="8">
        <f t="shared" si="3"/>
        <v>44711</v>
      </c>
      <c r="N516" s="9" t="str">
        <f>IFERROR(__xludf.DUMMYFUNCTION("IFS(
REGEXMATCH(LOWER(A516),""option|options""),""Options Strategy Education"",
REGEXMATCH(LOWER(A516),""bank nifty|nifty|index""),""Index Options"",
REGEXMATCH(LOWER(A516),""algo|api|systematic""),""Algo Trading / API Tutorial"",
REGEXMATCH(LOWER(A516),"&amp;"""groww|mtf|margin|pledge""),""Platform / Groww Feature Tutorial"",
REGEXMATCH(LOWER(A516),""candlestick|chart|price action|trendline|rsi|indicator""),""Technical Analysis / Chart Patterns"",
REGEXMATCH(LOWER(A516),""beginner|guide|start trading""),""Begi"&amp;"nner Trading Education"",
REGEXMATCH(LOWER(A516),""interview|journey|talks|wisdom""),""Expert Interview / Trading Insights"",
REGEXMATCH(LOWER(A516),""risk|loss|drawdown|psychology""),""Trading Psychology / Risk Management"",
REGEXMATCH(LOWER(A516),""comm"&amp;"odity|crude|gold|natural gas""),""Commodity Trading Education"",
TRUE,""General Trading Education""
)
"),"Technical Analysis / Chart Patterns")</f>
        <v>Technical Analysis / Chart Patterns</v>
      </c>
    </row>
    <row r="517" ht="15.75" customHeight="1">
      <c r="A517" s="1" t="s">
        <v>2588</v>
      </c>
      <c r="B517" s="3" t="s">
        <v>2589</v>
      </c>
      <c r="C517" s="1" t="s">
        <v>2590</v>
      </c>
      <c r="D517" s="1" t="s">
        <v>2591</v>
      </c>
      <c r="E517" s="4">
        <v>44711.0</v>
      </c>
      <c r="F517" s="5">
        <v>0.44583333333333336</v>
      </c>
      <c r="G517" s="1">
        <v>12394.0</v>
      </c>
      <c r="H517" s="1">
        <v>597.0</v>
      </c>
      <c r="I517" s="1">
        <v>13.0</v>
      </c>
      <c r="J517" s="3" t="s">
        <v>2592</v>
      </c>
      <c r="K517" s="6">
        <f t="shared" si="1"/>
        <v>4.921736324</v>
      </c>
      <c r="L517" s="7">
        <f t="shared" si="2"/>
        <v>642</v>
      </c>
      <c r="M517" s="8">
        <f t="shared" si="3"/>
        <v>44711</v>
      </c>
      <c r="N517" s="9" t="str">
        <f>IFERROR(__xludf.DUMMYFUNCTION("IFS(
REGEXMATCH(LOWER(A517),""option|options""),""Options Strategy Education"",
REGEXMATCH(LOWER(A517),""bank nifty|nifty|index""),""Index Options"",
REGEXMATCH(LOWER(A517),""algo|api|systematic""),""Algo Trading / API Tutorial"",
REGEXMATCH(LOWER(A517),"&amp;"""groww|mtf|margin|pledge""),""Platform / Groww Feature Tutorial"",
REGEXMATCH(LOWER(A517),""candlestick|chart|price action|trendline|rsi|indicator""),""Technical Analysis / Chart Patterns"",
REGEXMATCH(LOWER(A517),""beginner|guide|start trading""),""Begi"&amp;"nner Trading Education"",
REGEXMATCH(LOWER(A517),""interview|journey|talks|wisdom""),""Expert Interview / Trading Insights"",
REGEXMATCH(LOWER(A517),""risk|loss|drawdown|psychology""),""Trading Psychology / Risk Management"",
REGEXMATCH(LOWER(A517),""comm"&amp;"odity|crude|gold|natural gas""),""Commodity Trading Education"",
TRUE,""General Trading Education""
)
"),"Trading Psychology / Risk Management")</f>
        <v>Trading Psychology / Risk Management</v>
      </c>
    </row>
    <row r="518" ht="15.75" customHeight="1">
      <c r="A518" s="1" t="s">
        <v>2593</v>
      </c>
      <c r="B518" s="3" t="s">
        <v>2594</v>
      </c>
      <c r="C518" s="1" t="s">
        <v>2595</v>
      </c>
      <c r="D518" s="1" t="s">
        <v>2596</v>
      </c>
      <c r="E518" s="4">
        <v>44710.0</v>
      </c>
      <c r="F518" s="5">
        <v>0.5055555555555555</v>
      </c>
      <c r="G518" s="1">
        <v>28306.0</v>
      </c>
      <c r="H518" s="1">
        <v>807.0</v>
      </c>
      <c r="I518" s="1">
        <v>33.0</v>
      </c>
      <c r="J518" s="3" t="s">
        <v>2597</v>
      </c>
      <c r="K518" s="6">
        <f t="shared" si="1"/>
        <v>2.967568713</v>
      </c>
      <c r="L518" s="7">
        <f t="shared" si="2"/>
        <v>728</v>
      </c>
      <c r="M518" s="8">
        <f t="shared" si="3"/>
        <v>44704</v>
      </c>
      <c r="N518" s="9" t="str">
        <f>IFERROR(__xludf.DUMMYFUNCTION("IFS(
REGEXMATCH(LOWER(A518),""option|options""),""Options Strategy Education"",
REGEXMATCH(LOWER(A518),""bank nifty|nifty|index""),""Index Options"",
REGEXMATCH(LOWER(A518),""algo|api|systematic""),""Algo Trading / API Tutorial"",
REGEXMATCH(LOWER(A518),"&amp;"""groww|mtf|margin|pledge""),""Platform / Groww Feature Tutorial"",
REGEXMATCH(LOWER(A518),""candlestick|chart|price action|trendline|rsi|indicator""),""Technical Analysis / Chart Patterns"",
REGEXMATCH(LOWER(A518),""beginner|guide|start trading""),""Begi"&amp;"nner Trading Education"",
REGEXMATCH(LOWER(A518),""interview|journey|talks|wisdom""),""Expert Interview / Trading Insights"",
REGEXMATCH(LOWER(A518),""risk|loss|drawdown|psychology""),""Trading Psychology / Risk Management"",
REGEXMATCH(LOWER(A518),""comm"&amp;"odity|crude|gold|natural gas""),""Commodity Trading Education"",
TRUE,""General Trading Education""
)
"),"General Trading Education")</f>
        <v>General Trading Education</v>
      </c>
    </row>
    <row r="519" ht="15.75" customHeight="1">
      <c r="A519" s="1" t="s">
        <v>2598</v>
      </c>
      <c r="B519" s="3" t="s">
        <v>2599</v>
      </c>
      <c r="C519" s="1" t="s">
        <v>2600</v>
      </c>
      <c r="D519" s="1" t="s">
        <v>2601</v>
      </c>
      <c r="E519" s="4">
        <v>44706.0</v>
      </c>
      <c r="F519" s="5">
        <v>0.4965277777777778</v>
      </c>
      <c r="G519" s="1">
        <v>14144.0</v>
      </c>
      <c r="H519" s="1">
        <v>608.0</v>
      </c>
      <c r="I519" s="1">
        <v>8.0</v>
      </c>
      <c r="J519" s="3" t="s">
        <v>2602</v>
      </c>
      <c r="K519" s="6">
        <f t="shared" si="1"/>
        <v>4.35520362</v>
      </c>
      <c r="L519" s="7">
        <f t="shared" si="2"/>
        <v>715</v>
      </c>
      <c r="M519" s="8">
        <f t="shared" si="3"/>
        <v>44704</v>
      </c>
      <c r="N519" s="9" t="str">
        <f>IFERROR(__xludf.DUMMYFUNCTION("IFS(
REGEXMATCH(LOWER(A519),""option|options""),""Options Strategy Education"",
REGEXMATCH(LOWER(A519),""bank nifty|nifty|index""),""Index Options"",
REGEXMATCH(LOWER(A519),""algo|api|systematic""),""Algo Trading / API Tutorial"",
REGEXMATCH(LOWER(A519),"&amp;"""groww|mtf|margin|pledge""),""Platform / Groww Feature Tutorial"",
REGEXMATCH(LOWER(A519),""candlestick|chart|price action|trendline|rsi|indicator""),""Technical Analysis / Chart Patterns"",
REGEXMATCH(LOWER(A519),""beginner|guide|start trading""),""Begi"&amp;"nner Trading Education"",
REGEXMATCH(LOWER(A519),""interview|journey|talks|wisdom""),""Expert Interview / Trading Insights"",
REGEXMATCH(LOWER(A519),""risk|loss|drawdown|psychology""),""Trading Psychology / Risk Management"",
REGEXMATCH(LOWER(A519),""comm"&amp;"odity|crude|gold|natural gas""),""Commodity Trading Education"",
TRUE,""General Trading Education""
)
"),"Options Strategy Education")</f>
        <v>Options Strategy Education</v>
      </c>
    </row>
    <row r="520" ht="15.75" customHeight="1">
      <c r="A520" s="1" t="s">
        <v>2603</v>
      </c>
      <c r="B520" s="3" t="s">
        <v>2604</v>
      </c>
      <c r="C520" s="1" t="s">
        <v>2605</v>
      </c>
      <c r="D520" s="1" t="s">
        <v>2606</v>
      </c>
      <c r="E520" s="4">
        <v>44705.0</v>
      </c>
      <c r="F520" s="5">
        <v>0.6826388888888889</v>
      </c>
      <c r="G520" s="1">
        <v>44275.0</v>
      </c>
      <c r="H520" s="1">
        <v>1293.0</v>
      </c>
      <c r="I520" s="1">
        <v>22.0</v>
      </c>
      <c r="J520" s="3" t="s">
        <v>2607</v>
      </c>
      <c r="K520" s="6">
        <f t="shared" si="1"/>
        <v>2.970073405</v>
      </c>
      <c r="L520" s="7">
        <f t="shared" si="2"/>
        <v>983</v>
      </c>
      <c r="M520" s="8">
        <f t="shared" si="3"/>
        <v>44704</v>
      </c>
      <c r="N520" s="9" t="str">
        <f>IFERROR(__xludf.DUMMYFUNCTION("IFS(
REGEXMATCH(LOWER(A520),""option|options""),""Options Strategy Education"",
REGEXMATCH(LOWER(A520),""bank nifty|nifty|index""),""Index Options"",
REGEXMATCH(LOWER(A520),""algo|api|systematic""),""Algo Trading / API Tutorial"",
REGEXMATCH(LOWER(A520),"&amp;"""groww|mtf|margin|pledge""),""Platform / Groww Feature Tutorial"",
REGEXMATCH(LOWER(A520),""candlestick|chart|price action|trendline|rsi|indicator""),""Technical Analysis / Chart Patterns"",
REGEXMATCH(LOWER(A520),""beginner|guide|start trading""),""Begi"&amp;"nner Trading Education"",
REGEXMATCH(LOWER(A520),""interview|journey|talks|wisdom""),""Expert Interview / Trading Insights"",
REGEXMATCH(LOWER(A520),""risk|loss|drawdown|psychology""),""Trading Psychology / Risk Management"",
REGEXMATCH(LOWER(A520),""comm"&amp;"odity|crude|gold|natural gas""),""Commodity Trading Education"",
TRUE,""General Trading Education""
)
"),"General Trading Education")</f>
        <v>General Trading Education</v>
      </c>
    </row>
    <row r="521" ht="15.75" customHeight="1">
      <c r="A521" s="1" t="s">
        <v>2608</v>
      </c>
      <c r="B521" s="3" t="s">
        <v>2609</v>
      </c>
      <c r="C521" s="1" t="s">
        <v>2610</v>
      </c>
      <c r="D521" s="1" t="s">
        <v>2611</v>
      </c>
      <c r="E521" s="4">
        <v>44701.0</v>
      </c>
      <c r="F521" s="5">
        <v>0.5708333333333333</v>
      </c>
      <c r="G521" s="1">
        <v>34412.0</v>
      </c>
      <c r="H521" s="1">
        <v>990.0</v>
      </c>
      <c r="I521" s="1">
        <v>7.0</v>
      </c>
      <c r="J521" s="3" t="s">
        <v>2612</v>
      </c>
      <c r="K521" s="6">
        <f t="shared" si="1"/>
        <v>2.897245147</v>
      </c>
      <c r="L521" s="7">
        <f t="shared" si="2"/>
        <v>822</v>
      </c>
      <c r="M521" s="8">
        <f t="shared" si="3"/>
        <v>44697</v>
      </c>
      <c r="N521" s="9" t="str">
        <f>IFERROR(__xludf.DUMMYFUNCTION("IFS(
REGEXMATCH(LOWER(A521),""option|options""),""Options Strategy Education"",
REGEXMATCH(LOWER(A521),""bank nifty|nifty|index""),""Index Options"",
REGEXMATCH(LOWER(A521),""algo|api|systematic""),""Algo Trading / API Tutorial"",
REGEXMATCH(LOWER(A521),"&amp;"""groww|mtf|margin|pledge""),""Platform / Groww Feature Tutorial"",
REGEXMATCH(LOWER(A521),""candlestick|chart|price action|trendline|rsi|indicator""),""Technical Analysis / Chart Patterns"",
REGEXMATCH(LOWER(A521),""beginner|guide|start trading""),""Begi"&amp;"nner Trading Education"",
REGEXMATCH(LOWER(A521),""interview|journey|talks|wisdom""),""Expert Interview / Trading Insights"",
REGEXMATCH(LOWER(A521),""risk|loss|drawdown|psychology""),""Trading Psychology / Risk Management"",
REGEXMATCH(LOWER(A521),""comm"&amp;"odity|crude|gold|natural gas""),""Commodity Trading Education"",
TRUE,""General Trading Education""
)
"),"Beginner Trading Education")</f>
        <v>Beginner Trading Education</v>
      </c>
    </row>
    <row r="522" ht="15.75" customHeight="1">
      <c r="A522" s="1" t="s">
        <v>2613</v>
      </c>
      <c r="B522" s="3" t="s">
        <v>2614</v>
      </c>
      <c r="C522" s="1" t="s">
        <v>2615</v>
      </c>
      <c r="D522" s="1" t="s">
        <v>2616</v>
      </c>
      <c r="E522" s="4">
        <v>44700.0</v>
      </c>
      <c r="F522" s="5">
        <v>0.5625</v>
      </c>
      <c r="G522" s="1">
        <v>61752.0</v>
      </c>
      <c r="H522" s="1">
        <v>1775.0</v>
      </c>
      <c r="I522" s="1">
        <v>38.0</v>
      </c>
      <c r="J522" s="3" t="s">
        <v>2617</v>
      </c>
      <c r="K522" s="6">
        <f t="shared" si="1"/>
        <v>2.935937298</v>
      </c>
      <c r="L522" s="7">
        <f t="shared" si="2"/>
        <v>810</v>
      </c>
      <c r="M522" s="8">
        <f t="shared" si="3"/>
        <v>44697</v>
      </c>
      <c r="N522" s="9" t="str">
        <f>IFERROR(__xludf.DUMMYFUNCTION("IFS(
REGEXMATCH(LOWER(A522),""option|options""),""Options Strategy Education"",
REGEXMATCH(LOWER(A522),""bank nifty|nifty|index""),""Index Options"",
REGEXMATCH(LOWER(A522),""algo|api|systematic""),""Algo Trading / API Tutorial"",
REGEXMATCH(LOWER(A522),"&amp;"""groww|mtf|margin|pledge""),""Platform / Groww Feature Tutorial"",
REGEXMATCH(LOWER(A522),""candlestick|chart|price action|trendline|rsi|indicator""),""Technical Analysis / Chart Patterns"",
REGEXMATCH(LOWER(A522),""beginner|guide|start trading""),""Begi"&amp;"nner Trading Education"",
REGEXMATCH(LOWER(A522),""interview|journey|talks|wisdom""),""Expert Interview / Trading Insights"",
REGEXMATCH(LOWER(A522),""risk|loss|drawdown|psychology""),""Trading Psychology / Risk Management"",
REGEXMATCH(LOWER(A522),""comm"&amp;"odity|crude|gold|natural gas""),""Commodity Trading Education"",
TRUE,""General Trading Education""
)
"),"Beginner Trading Education")</f>
        <v>Beginner Trading Education</v>
      </c>
    </row>
    <row r="523" ht="15.75" customHeight="1">
      <c r="A523" s="1" t="s">
        <v>2618</v>
      </c>
      <c r="B523" s="3" t="s">
        <v>2619</v>
      </c>
      <c r="C523" s="1" t="s">
        <v>2620</v>
      </c>
      <c r="D523" s="1" t="s">
        <v>2621</v>
      </c>
      <c r="E523" s="4">
        <v>44699.0</v>
      </c>
      <c r="F523" s="5">
        <v>0.5041666666666667</v>
      </c>
      <c r="G523" s="1">
        <v>21926.0</v>
      </c>
      <c r="H523" s="1">
        <v>685.0</v>
      </c>
      <c r="I523" s="1">
        <v>15.0</v>
      </c>
      <c r="J523" s="3" t="s">
        <v>2622</v>
      </c>
      <c r="K523" s="6">
        <f t="shared" si="1"/>
        <v>3.192556782</v>
      </c>
      <c r="L523" s="7">
        <f t="shared" si="2"/>
        <v>726</v>
      </c>
      <c r="M523" s="8">
        <f t="shared" si="3"/>
        <v>44697</v>
      </c>
      <c r="N523" s="9" t="str">
        <f>IFERROR(__xludf.DUMMYFUNCTION("IFS(
REGEXMATCH(LOWER(A523),""option|options""),""Options Strategy Education"",
REGEXMATCH(LOWER(A523),""bank nifty|nifty|index""),""Index Options"",
REGEXMATCH(LOWER(A523),""algo|api|systematic""),""Algo Trading / API Tutorial"",
REGEXMATCH(LOWER(A523),"&amp;"""groww|mtf|margin|pledge""),""Platform / Groww Feature Tutorial"",
REGEXMATCH(LOWER(A523),""candlestick|chart|price action|trendline|rsi|indicator""),""Technical Analysis / Chart Patterns"",
REGEXMATCH(LOWER(A523),""beginner|guide|start trading""),""Begi"&amp;"nner Trading Education"",
REGEXMATCH(LOWER(A523),""interview|journey|talks|wisdom""),""Expert Interview / Trading Insights"",
REGEXMATCH(LOWER(A523),""risk|loss|drawdown|psychology""),""Trading Psychology / Risk Management"",
REGEXMATCH(LOWER(A523),""comm"&amp;"odity|crude|gold|natural gas""),""Commodity Trading Education"",
TRUE,""General Trading Education""
)
"),"Options Strategy Education")</f>
        <v>Options Strategy Education</v>
      </c>
    </row>
    <row r="524" ht="15.75" customHeight="1">
      <c r="A524" s="1" t="s">
        <v>2623</v>
      </c>
      <c r="B524" s="3" t="s">
        <v>2624</v>
      </c>
      <c r="C524" s="1" t="s">
        <v>2625</v>
      </c>
      <c r="D524" s="1" t="s">
        <v>2626</v>
      </c>
      <c r="E524" s="4">
        <v>44697.0</v>
      </c>
      <c r="F524" s="5">
        <v>0.47638888888888886</v>
      </c>
      <c r="G524" s="1">
        <v>34481.0</v>
      </c>
      <c r="H524" s="1">
        <v>1663.0</v>
      </c>
      <c r="I524" s="1">
        <v>24.0</v>
      </c>
      <c r="J524" s="3" t="s">
        <v>2627</v>
      </c>
      <c r="K524" s="6">
        <f t="shared" si="1"/>
        <v>4.89254952</v>
      </c>
      <c r="L524" s="7">
        <f t="shared" si="2"/>
        <v>686</v>
      </c>
      <c r="M524" s="8">
        <f t="shared" si="3"/>
        <v>44697</v>
      </c>
      <c r="N524" s="9" t="str">
        <f>IFERROR(__xludf.DUMMYFUNCTION("IFS(
REGEXMATCH(LOWER(A524),""option|options""),""Options Strategy Education"",
REGEXMATCH(LOWER(A524),""bank nifty|nifty|index""),""Index Options"",
REGEXMATCH(LOWER(A524),""algo|api|systematic""),""Algo Trading / API Tutorial"",
REGEXMATCH(LOWER(A524),"&amp;"""groww|mtf|margin|pledge""),""Platform / Groww Feature Tutorial"",
REGEXMATCH(LOWER(A524),""candlestick|chart|price action|trendline|rsi|indicator""),""Technical Analysis / Chart Patterns"",
REGEXMATCH(LOWER(A524),""beginner|guide|start trading""),""Begi"&amp;"nner Trading Education"",
REGEXMATCH(LOWER(A524),""interview|journey|talks|wisdom""),""Expert Interview / Trading Insights"",
REGEXMATCH(LOWER(A524),""risk|loss|drawdown|psychology""),""Trading Psychology / Risk Management"",
REGEXMATCH(LOWER(A524),""comm"&amp;"odity|crude|gold|natural gas""),""Commodity Trading Education"",
TRUE,""General Trading Education""
)
"),"Beginner Trading Education")</f>
        <v>Beginner Trading Education</v>
      </c>
    </row>
    <row r="525" ht="15.75" customHeight="1">
      <c r="A525" s="1" t="s">
        <v>2628</v>
      </c>
      <c r="B525" s="3" t="s">
        <v>2629</v>
      </c>
      <c r="C525" s="1" t="s">
        <v>2630</v>
      </c>
      <c r="D525" s="1" t="s">
        <v>2631</v>
      </c>
      <c r="E525" s="4">
        <v>44695.0</v>
      </c>
      <c r="F525" s="5">
        <v>0.7159722222222222</v>
      </c>
      <c r="G525" s="1">
        <v>34682.0</v>
      </c>
      <c r="H525" s="1">
        <v>1182.0</v>
      </c>
      <c r="I525" s="1">
        <v>32.0</v>
      </c>
      <c r="J525" s="3" t="s">
        <v>2632</v>
      </c>
      <c r="K525" s="6">
        <f t="shared" si="1"/>
        <v>3.500374834</v>
      </c>
      <c r="L525" s="7">
        <f t="shared" si="2"/>
        <v>1031</v>
      </c>
      <c r="M525" s="8">
        <f t="shared" si="3"/>
        <v>44690</v>
      </c>
      <c r="N525" s="9" t="str">
        <f>IFERROR(__xludf.DUMMYFUNCTION("IFS(
REGEXMATCH(LOWER(A525),""option|options""),""Options Strategy Education"",
REGEXMATCH(LOWER(A525),""bank nifty|nifty|index""),""Index Options"",
REGEXMATCH(LOWER(A525),""algo|api|systematic""),""Algo Trading / API Tutorial"",
REGEXMATCH(LOWER(A525),"&amp;"""groww|mtf|margin|pledge""),""Platform / Groww Feature Tutorial"",
REGEXMATCH(LOWER(A525),""candlestick|chart|price action|trendline|rsi|indicator""),""Technical Analysis / Chart Patterns"",
REGEXMATCH(LOWER(A525),""beginner|guide|start trading""),""Begi"&amp;"nner Trading Education"",
REGEXMATCH(LOWER(A525),""interview|journey|talks|wisdom""),""Expert Interview / Trading Insights"",
REGEXMATCH(LOWER(A525),""risk|loss|drawdown|psychology""),""Trading Psychology / Risk Management"",
REGEXMATCH(LOWER(A525),""comm"&amp;"odity|crude|gold|natural gas""),""Commodity Trading Education"",
TRUE,""General Trading Education""
)
"),"Options Strategy Education")</f>
        <v>Options Strategy Education</v>
      </c>
    </row>
    <row r="526" ht="15.75" customHeight="1">
      <c r="A526" s="1" t="s">
        <v>2633</v>
      </c>
      <c r="B526" s="3" t="s">
        <v>2634</v>
      </c>
      <c r="C526" s="1" t="s">
        <v>2635</v>
      </c>
      <c r="D526" s="1" t="s">
        <v>2636</v>
      </c>
      <c r="E526" s="4">
        <v>44693.0</v>
      </c>
      <c r="F526" s="5">
        <v>0.56875</v>
      </c>
      <c r="G526" s="1">
        <v>133836.0</v>
      </c>
      <c r="H526" s="1">
        <v>4160.0</v>
      </c>
      <c r="I526" s="1">
        <v>46.0</v>
      </c>
      <c r="J526" s="3" t="s">
        <v>2637</v>
      </c>
      <c r="K526" s="6">
        <f t="shared" si="1"/>
        <v>3.142652201</v>
      </c>
      <c r="L526" s="7">
        <f t="shared" si="2"/>
        <v>819</v>
      </c>
      <c r="M526" s="8">
        <f t="shared" si="3"/>
        <v>44690</v>
      </c>
      <c r="N526" s="9" t="str">
        <f>IFERROR(__xludf.DUMMYFUNCTION("IFS(
REGEXMATCH(LOWER(A526),""option|options""),""Options Strategy Education"",
REGEXMATCH(LOWER(A526),""bank nifty|nifty|index""),""Index Options"",
REGEXMATCH(LOWER(A526),""algo|api|systematic""),""Algo Trading / API Tutorial"",
REGEXMATCH(LOWER(A526),"&amp;"""groww|mtf|margin|pledge""),""Platform / Groww Feature Tutorial"",
REGEXMATCH(LOWER(A526),""candlestick|chart|price action|trendline|rsi|indicator""),""Technical Analysis / Chart Patterns"",
REGEXMATCH(LOWER(A526),""beginner|guide|start trading""),""Begi"&amp;"nner Trading Education"",
REGEXMATCH(LOWER(A526),""interview|journey|talks|wisdom""),""Expert Interview / Trading Insights"",
REGEXMATCH(LOWER(A526),""risk|loss|drawdown|psychology""),""Trading Psychology / Risk Management"",
REGEXMATCH(LOWER(A526),""comm"&amp;"odity|crude|gold|natural gas""),""Commodity Trading Education"",
TRUE,""General Trading Education""
)
"),"Technical Analysis / Chart Patterns")</f>
        <v>Technical Analysis / Chart Patterns</v>
      </c>
    </row>
    <row r="527" ht="15.75" customHeight="1">
      <c r="A527" s="1" t="s">
        <v>2638</v>
      </c>
      <c r="B527" s="3" t="s">
        <v>2639</v>
      </c>
      <c r="C527" s="1" t="s">
        <v>2640</v>
      </c>
      <c r="D527" s="1" t="s">
        <v>2641</v>
      </c>
      <c r="E527" s="4">
        <v>44690.0</v>
      </c>
      <c r="F527" s="5">
        <v>0.5416666666666666</v>
      </c>
      <c r="G527" s="1">
        <v>21463.0</v>
      </c>
      <c r="H527" s="1">
        <v>420.0</v>
      </c>
      <c r="I527" s="1">
        <v>29.0</v>
      </c>
      <c r="J527" s="3" t="s">
        <v>2642</v>
      </c>
      <c r="K527" s="6">
        <f t="shared" si="1"/>
        <v>2.091972231</v>
      </c>
      <c r="L527" s="7">
        <f t="shared" si="2"/>
        <v>780</v>
      </c>
      <c r="M527" s="8">
        <f t="shared" si="3"/>
        <v>44690</v>
      </c>
      <c r="N527" s="9" t="str">
        <f>IFERROR(__xludf.DUMMYFUNCTION("IFS(
REGEXMATCH(LOWER(A527),""option|options""),""Options Strategy Education"",
REGEXMATCH(LOWER(A527),""bank nifty|nifty|index""),""Index Options"",
REGEXMATCH(LOWER(A527),""algo|api|systematic""),""Algo Trading / API Tutorial"",
REGEXMATCH(LOWER(A527),"&amp;"""groww|mtf|margin|pledge""),""Platform / Groww Feature Tutorial"",
REGEXMATCH(LOWER(A527),""candlestick|chart|price action|trendline|rsi|indicator""),""Technical Analysis / Chart Patterns"",
REGEXMATCH(LOWER(A527),""beginner|guide|start trading""),""Begi"&amp;"nner Trading Education"",
REGEXMATCH(LOWER(A527),""interview|journey|talks|wisdom""),""Expert Interview / Trading Insights"",
REGEXMATCH(LOWER(A527),""risk|loss|drawdown|psychology""),""Trading Psychology / Risk Management"",
REGEXMATCH(LOWER(A527),""comm"&amp;"odity|crude|gold|natural gas""),""Commodity Trading Education"",
TRUE,""General Trading Education""
)
"),"Platform / Groww Feature Tutorial")</f>
        <v>Platform / Groww Feature Tutorial</v>
      </c>
    </row>
    <row r="528" ht="15.75" customHeight="1">
      <c r="A528" s="1" t="s">
        <v>2643</v>
      </c>
      <c r="B528" s="3" t="s">
        <v>2644</v>
      </c>
      <c r="C528" s="1" t="s">
        <v>2645</v>
      </c>
      <c r="D528" s="1" t="s">
        <v>2646</v>
      </c>
      <c r="E528" s="4">
        <v>44687.0</v>
      </c>
      <c r="F528" s="5">
        <v>0.5048611111111111</v>
      </c>
      <c r="G528" s="1">
        <v>12004.0</v>
      </c>
      <c r="H528" s="1">
        <v>493.0</v>
      </c>
      <c r="I528" s="1">
        <v>15.0</v>
      </c>
      <c r="J528" s="3" t="s">
        <v>2647</v>
      </c>
      <c r="K528" s="6">
        <f t="shared" si="1"/>
        <v>4.231922692</v>
      </c>
      <c r="L528" s="7">
        <f t="shared" si="2"/>
        <v>727</v>
      </c>
      <c r="M528" s="8">
        <f t="shared" si="3"/>
        <v>44683</v>
      </c>
      <c r="N528" s="9" t="str">
        <f>IFERROR(__xludf.DUMMYFUNCTION("IFS(
REGEXMATCH(LOWER(A528),""option|options""),""Options Strategy Education"",
REGEXMATCH(LOWER(A528),""bank nifty|nifty|index""),""Index Options"",
REGEXMATCH(LOWER(A528),""algo|api|systematic""),""Algo Trading / API Tutorial"",
REGEXMATCH(LOWER(A528),"&amp;"""groww|mtf|margin|pledge""),""Platform / Groww Feature Tutorial"",
REGEXMATCH(LOWER(A528),""candlestick|chart|price action|trendline|rsi|indicator""),""Technical Analysis / Chart Patterns"",
REGEXMATCH(LOWER(A528),""beginner|guide|start trading""),""Begi"&amp;"nner Trading Education"",
REGEXMATCH(LOWER(A528),""interview|journey|talks|wisdom""),""Expert Interview / Trading Insights"",
REGEXMATCH(LOWER(A528),""risk|loss|drawdown|psychology""),""Trading Psychology / Risk Management"",
REGEXMATCH(LOWER(A528),""comm"&amp;"odity|crude|gold|natural gas""),""Commodity Trading Education"",
TRUE,""General Trading Education""
)
"),"Technical Analysis / Chart Patterns")</f>
        <v>Technical Analysis / Chart Patterns</v>
      </c>
    </row>
    <row r="529" ht="15.75" customHeight="1">
      <c r="A529" s="1" t="s">
        <v>2648</v>
      </c>
      <c r="B529" s="3" t="s">
        <v>2649</v>
      </c>
      <c r="C529" s="1" t="s">
        <v>2650</v>
      </c>
      <c r="D529" s="1" t="s">
        <v>2651</v>
      </c>
      <c r="E529" s="4">
        <v>44686.0</v>
      </c>
      <c r="F529" s="5">
        <v>0.5243055555555556</v>
      </c>
      <c r="G529" s="1">
        <v>41137.0</v>
      </c>
      <c r="H529" s="1">
        <v>1072.0</v>
      </c>
      <c r="I529" s="1">
        <v>28.0</v>
      </c>
      <c r="J529" s="3" t="s">
        <v>2652</v>
      </c>
      <c r="K529" s="6">
        <f t="shared" si="1"/>
        <v>2.673991784</v>
      </c>
      <c r="L529" s="7">
        <f t="shared" si="2"/>
        <v>755</v>
      </c>
      <c r="M529" s="8">
        <f t="shared" si="3"/>
        <v>44683</v>
      </c>
      <c r="N529" s="9" t="str">
        <f>IFERROR(__xludf.DUMMYFUNCTION("IFS(
REGEXMATCH(LOWER(A529),""option|options""),""Options Strategy Education"",
REGEXMATCH(LOWER(A529),""bank nifty|nifty|index""),""Index Options"",
REGEXMATCH(LOWER(A529),""algo|api|systematic""),""Algo Trading / API Tutorial"",
REGEXMATCH(LOWER(A529),"&amp;"""groww|mtf|margin|pledge""),""Platform / Groww Feature Tutorial"",
REGEXMATCH(LOWER(A529),""candlestick|chart|price action|trendline|rsi|indicator""),""Technical Analysis / Chart Patterns"",
REGEXMATCH(LOWER(A529),""beginner|guide|start trading""),""Begi"&amp;"nner Trading Education"",
REGEXMATCH(LOWER(A529),""interview|journey|talks|wisdom""),""Expert Interview / Trading Insights"",
REGEXMATCH(LOWER(A529),""risk|loss|drawdown|psychology""),""Trading Psychology / Risk Management"",
REGEXMATCH(LOWER(A529),""comm"&amp;"odity|crude|gold|natural gas""),""Commodity Trading Education"",
TRUE,""General Trading Education""
)
"),"Beginner Trading Education")</f>
        <v>Beginner Trading Education</v>
      </c>
    </row>
    <row r="530" ht="15.75" customHeight="1">
      <c r="A530" s="1" t="s">
        <v>2653</v>
      </c>
      <c r="B530" s="3" t="s">
        <v>2654</v>
      </c>
      <c r="C530" s="1" t="s">
        <v>2655</v>
      </c>
      <c r="D530" s="1" t="s">
        <v>2656</v>
      </c>
      <c r="E530" s="4">
        <v>44683.0</v>
      </c>
      <c r="F530" s="5">
        <v>0.8888888888888888</v>
      </c>
      <c r="G530" s="1">
        <v>9971.0</v>
      </c>
      <c r="H530" s="1">
        <v>494.0</v>
      </c>
      <c r="I530" s="1">
        <v>14.0</v>
      </c>
      <c r="J530" s="3" t="s">
        <v>2657</v>
      </c>
      <c r="K530" s="6">
        <f t="shared" si="1"/>
        <v>5.094774847</v>
      </c>
      <c r="L530" s="7">
        <f t="shared" si="2"/>
        <v>1280</v>
      </c>
      <c r="M530" s="8">
        <f t="shared" si="3"/>
        <v>44683</v>
      </c>
      <c r="N530" s="9" t="str">
        <f>IFERROR(__xludf.DUMMYFUNCTION("IFS(
REGEXMATCH(LOWER(A530),""option|options""),""Options Strategy Education"",
REGEXMATCH(LOWER(A530),""bank nifty|nifty|index""),""Index Options"",
REGEXMATCH(LOWER(A530),""algo|api|systematic""),""Algo Trading / API Tutorial"",
REGEXMATCH(LOWER(A530),"&amp;"""groww|mtf|margin|pledge""),""Platform / Groww Feature Tutorial"",
REGEXMATCH(LOWER(A530),""candlestick|chart|price action|trendline|rsi|indicator""),""Technical Analysis / Chart Patterns"",
REGEXMATCH(LOWER(A530),""beginner|guide|start trading""),""Begi"&amp;"nner Trading Education"",
REGEXMATCH(LOWER(A530),""interview|journey|talks|wisdom""),""Expert Interview / Trading Insights"",
REGEXMATCH(LOWER(A530),""risk|loss|drawdown|psychology""),""Trading Psychology / Risk Management"",
REGEXMATCH(LOWER(A530),""comm"&amp;"odity|crude|gold|natural gas""),""Commodity Trading Education"",
TRUE,""General Trading Education""
)
"),"Technical Analysis / Chart Patterns")</f>
        <v>Technical Analysis / Chart Patterns</v>
      </c>
    </row>
    <row r="531" ht="15.75" customHeight="1">
      <c r="A531" s="1" t="s">
        <v>2658</v>
      </c>
      <c r="B531" s="3" t="s">
        <v>2659</v>
      </c>
      <c r="C531" s="1" t="s">
        <v>2660</v>
      </c>
      <c r="D531" s="1" t="s">
        <v>2661</v>
      </c>
      <c r="E531" s="4">
        <v>44682.0</v>
      </c>
      <c r="F531" s="5">
        <v>0.6111111111111112</v>
      </c>
      <c r="G531" s="1">
        <v>36570.0</v>
      </c>
      <c r="H531" s="1">
        <v>1112.0</v>
      </c>
      <c r="I531" s="1">
        <v>28.0</v>
      </c>
      <c r="J531" s="3" t="s">
        <v>2662</v>
      </c>
      <c r="K531" s="6">
        <f t="shared" si="1"/>
        <v>3.11730927</v>
      </c>
      <c r="L531" s="7">
        <f t="shared" si="2"/>
        <v>880</v>
      </c>
      <c r="M531" s="8">
        <f t="shared" si="3"/>
        <v>44676</v>
      </c>
      <c r="N531" s="9" t="str">
        <f>IFERROR(__xludf.DUMMYFUNCTION("IFS(
REGEXMATCH(LOWER(A531),""option|options""),""Options Strategy Education"",
REGEXMATCH(LOWER(A531),""bank nifty|nifty|index""),""Index Options"",
REGEXMATCH(LOWER(A531),""algo|api|systematic""),""Algo Trading / API Tutorial"",
REGEXMATCH(LOWER(A531),"&amp;"""groww|mtf|margin|pledge""),""Platform / Groww Feature Tutorial"",
REGEXMATCH(LOWER(A531),""candlestick|chart|price action|trendline|rsi|indicator""),""Technical Analysis / Chart Patterns"",
REGEXMATCH(LOWER(A531),""beginner|guide|start trading""),""Begi"&amp;"nner Trading Education"",
REGEXMATCH(LOWER(A531),""interview|journey|talks|wisdom""),""Expert Interview / Trading Insights"",
REGEXMATCH(LOWER(A531),""risk|loss|drawdown|psychology""),""Trading Psychology / Risk Management"",
REGEXMATCH(LOWER(A531),""comm"&amp;"odity|crude|gold|natural gas""),""Commodity Trading Education"",
TRUE,""General Trading Education""
)
"),"Options Strategy Education")</f>
        <v>Options Strategy Education</v>
      </c>
    </row>
    <row r="532" ht="15.75" customHeight="1">
      <c r="A532" s="1" t="s">
        <v>2663</v>
      </c>
      <c r="B532" s="3" t="s">
        <v>2664</v>
      </c>
      <c r="C532" s="1" t="s">
        <v>2665</v>
      </c>
      <c r="D532" s="1" t="s">
        <v>2666</v>
      </c>
      <c r="E532" s="4">
        <v>44679.0</v>
      </c>
      <c r="F532" s="5">
        <v>0.5506944444444445</v>
      </c>
      <c r="G532" s="1">
        <v>83543.0</v>
      </c>
      <c r="H532" s="1">
        <v>2289.0</v>
      </c>
      <c r="I532" s="1">
        <v>50.0</v>
      </c>
      <c r="J532" s="3" t="s">
        <v>2667</v>
      </c>
      <c r="K532" s="6">
        <f t="shared" si="1"/>
        <v>2.799755814</v>
      </c>
      <c r="L532" s="7">
        <f t="shared" si="2"/>
        <v>793</v>
      </c>
      <c r="M532" s="8">
        <f t="shared" si="3"/>
        <v>44676</v>
      </c>
      <c r="N532" s="9" t="str">
        <f>IFERROR(__xludf.DUMMYFUNCTION("IFS(
REGEXMATCH(LOWER(A532),""option|options""),""Options Strategy Education"",
REGEXMATCH(LOWER(A532),""bank nifty|nifty|index""),""Index Options"",
REGEXMATCH(LOWER(A532),""algo|api|systematic""),""Algo Trading / API Tutorial"",
REGEXMATCH(LOWER(A532),"&amp;"""groww|mtf|margin|pledge""),""Platform / Groww Feature Tutorial"",
REGEXMATCH(LOWER(A532),""candlestick|chart|price action|trendline|rsi|indicator""),""Technical Analysis / Chart Patterns"",
REGEXMATCH(LOWER(A532),""beginner|guide|start trading""),""Begi"&amp;"nner Trading Education"",
REGEXMATCH(LOWER(A532),""interview|journey|talks|wisdom""),""Expert Interview / Trading Insights"",
REGEXMATCH(LOWER(A532),""risk|loss|drawdown|psychology""),""Trading Psychology / Risk Management"",
REGEXMATCH(LOWER(A532),""comm"&amp;"odity|crude|gold|natural gas""),""Commodity Trading Education"",
TRUE,""General Trading Education""
)
"),"Platform / Groww Feature Tutorial")</f>
        <v>Platform / Groww Feature Tutorial</v>
      </c>
    </row>
    <row r="533" ht="15.75" customHeight="1">
      <c r="A533" s="1" t="s">
        <v>2668</v>
      </c>
      <c r="B533" s="3" t="s">
        <v>2669</v>
      </c>
      <c r="C533" s="1" t="s">
        <v>2670</v>
      </c>
      <c r="D533" s="1" t="s">
        <v>2671</v>
      </c>
      <c r="E533" s="4">
        <v>44678.0</v>
      </c>
      <c r="F533" s="5">
        <v>0.33541666666666664</v>
      </c>
      <c r="G533" s="1">
        <v>9488.0</v>
      </c>
      <c r="H533" s="1">
        <v>526.0</v>
      </c>
      <c r="I533" s="1">
        <v>25.0</v>
      </c>
      <c r="J533" s="3" t="s">
        <v>2672</v>
      </c>
      <c r="K533" s="6">
        <f t="shared" si="1"/>
        <v>5.807335582</v>
      </c>
      <c r="L533" s="7">
        <f t="shared" si="2"/>
        <v>483</v>
      </c>
      <c r="M533" s="8">
        <f t="shared" si="3"/>
        <v>44676</v>
      </c>
      <c r="N533" s="9" t="str">
        <f>IFERROR(__xludf.DUMMYFUNCTION("IFS(
REGEXMATCH(LOWER(A533),""option|options""),""Options Strategy Education"",
REGEXMATCH(LOWER(A533),""bank nifty|nifty|index""),""Index Options"",
REGEXMATCH(LOWER(A533),""algo|api|systematic""),""Algo Trading / API Tutorial"",
REGEXMATCH(LOWER(A533),"&amp;"""groww|mtf|margin|pledge""),""Platform / Groww Feature Tutorial"",
REGEXMATCH(LOWER(A533),""candlestick|chart|price action|trendline|rsi|indicator""),""Technical Analysis / Chart Patterns"",
REGEXMATCH(LOWER(A533),""beginner|guide|start trading""),""Begi"&amp;"nner Trading Education"",
REGEXMATCH(LOWER(A533),""interview|journey|talks|wisdom""),""Expert Interview / Trading Insights"",
REGEXMATCH(LOWER(A533),""risk|loss|drawdown|psychology""),""Trading Psychology / Risk Management"",
REGEXMATCH(LOWER(A533),""comm"&amp;"odity|crude|gold|natural gas""),""Commodity Trading Education"",
TRUE,""General Trading Education""
)
"),"Platform / Groww Feature Tutorial")</f>
        <v>Platform / Groww Feature Tutorial</v>
      </c>
    </row>
    <row r="534" ht="15.75" customHeight="1">
      <c r="A534" s="1" t="s">
        <v>2673</v>
      </c>
      <c r="B534" s="3" t="s">
        <v>2674</v>
      </c>
      <c r="C534" s="1" t="s">
        <v>2675</v>
      </c>
      <c r="D534" s="1" t="s">
        <v>2676</v>
      </c>
      <c r="E534" s="4">
        <v>44677.0</v>
      </c>
      <c r="F534" s="5">
        <v>0.375</v>
      </c>
      <c r="G534" s="1">
        <v>3923.0</v>
      </c>
      <c r="H534" s="1">
        <v>261.0</v>
      </c>
      <c r="I534" s="1">
        <v>13.0</v>
      </c>
      <c r="J534" s="3" t="s">
        <v>2677</v>
      </c>
      <c r="K534" s="6">
        <f t="shared" si="1"/>
        <v>6.984450676</v>
      </c>
      <c r="L534" s="7">
        <f t="shared" si="2"/>
        <v>540</v>
      </c>
      <c r="M534" s="8">
        <f t="shared" si="3"/>
        <v>44676</v>
      </c>
      <c r="N534" s="9" t="str">
        <f>IFERROR(__xludf.DUMMYFUNCTION("IFS(
REGEXMATCH(LOWER(A534),""option|options""),""Options Strategy Education"",
REGEXMATCH(LOWER(A534),""bank nifty|nifty|index""),""Index Options"",
REGEXMATCH(LOWER(A534),""algo|api|systematic""),""Algo Trading / API Tutorial"",
REGEXMATCH(LOWER(A534),"&amp;"""groww|mtf|margin|pledge""),""Platform / Groww Feature Tutorial"",
REGEXMATCH(LOWER(A534),""candlestick|chart|price action|trendline|rsi|indicator""),""Technical Analysis / Chart Patterns"",
REGEXMATCH(LOWER(A534),""beginner|guide|start trading""),""Begi"&amp;"nner Trading Education"",
REGEXMATCH(LOWER(A534),""interview|journey|talks|wisdom""),""Expert Interview / Trading Insights"",
REGEXMATCH(LOWER(A534),""risk|loss|drawdown|psychology""),""Trading Psychology / Risk Management"",
REGEXMATCH(LOWER(A534),""comm"&amp;"odity|crude|gold|natural gas""),""Commodity Trading Education"",
TRUE,""General Trading Education""
)
"),"Index Options")</f>
        <v>Index Options</v>
      </c>
    </row>
    <row r="535" ht="15.75" customHeight="1">
      <c r="A535" s="1" t="s">
        <v>2678</v>
      </c>
      <c r="B535" s="3" t="s">
        <v>2679</v>
      </c>
      <c r="C535" s="1" t="s">
        <v>2680</v>
      </c>
      <c r="D535" s="1" t="s">
        <v>2681</v>
      </c>
      <c r="E535" s="4">
        <v>44676.0</v>
      </c>
      <c r="F535" s="5">
        <v>0.5090277777777777</v>
      </c>
      <c r="G535" s="1">
        <v>33065.0</v>
      </c>
      <c r="H535" s="1">
        <v>926.0</v>
      </c>
      <c r="I535" s="1">
        <v>24.0</v>
      </c>
      <c r="J535" s="3" t="s">
        <v>2682</v>
      </c>
      <c r="K535" s="6">
        <f t="shared" si="1"/>
        <v>2.873128686</v>
      </c>
      <c r="L535" s="7">
        <f t="shared" si="2"/>
        <v>733</v>
      </c>
      <c r="M535" s="8">
        <f t="shared" si="3"/>
        <v>44676</v>
      </c>
      <c r="N535" s="9" t="str">
        <f>IFERROR(__xludf.DUMMYFUNCTION("IFS(
REGEXMATCH(LOWER(A535),""option|options""),""Options Strategy Education"",
REGEXMATCH(LOWER(A535),""bank nifty|nifty|index""),""Index Options"",
REGEXMATCH(LOWER(A535),""algo|api|systematic""),""Algo Trading / API Tutorial"",
REGEXMATCH(LOWER(A535),"&amp;"""groww|mtf|margin|pledge""),""Platform / Groww Feature Tutorial"",
REGEXMATCH(LOWER(A535),""candlestick|chart|price action|trendline|rsi|indicator""),""Technical Analysis / Chart Patterns"",
REGEXMATCH(LOWER(A535),""beginner|guide|start trading""),""Begi"&amp;"nner Trading Education"",
REGEXMATCH(LOWER(A535),""interview|journey|talks|wisdom""),""Expert Interview / Trading Insights"",
REGEXMATCH(LOWER(A535),""risk|loss|drawdown|psychology""),""Trading Psychology / Risk Management"",
REGEXMATCH(LOWER(A535),""comm"&amp;"odity|crude|gold|natural gas""),""Commodity Trading Education"",
TRUE,""General Trading Education""
)
"),"Platform / Groww Feature Tutorial")</f>
        <v>Platform / Groww Feature Tutorial</v>
      </c>
    </row>
    <row r="536" ht="15.75" customHeight="1">
      <c r="A536" s="1" t="s">
        <v>2683</v>
      </c>
      <c r="B536" s="3" t="s">
        <v>2684</v>
      </c>
      <c r="C536" s="1" t="s">
        <v>2685</v>
      </c>
      <c r="D536" s="1" t="s">
        <v>2686</v>
      </c>
      <c r="E536" s="4">
        <v>44674.0</v>
      </c>
      <c r="F536" s="5">
        <v>0.46458333333333335</v>
      </c>
      <c r="G536" s="1">
        <v>54214.0</v>
      </c>
      <c r="H536" s="1">
        <v>1993.0</v>
      </c>
      <c r="I536" s="1">
        <v>60.0</v>
      </c>
      <c r="J536" s="3" t="s">
        <v>2687</v>
      </c>
      <c r="K536" s="6">
        <f t="shared" si="1"/>
        <v>3.786844726</v>
      </c>
      <c r="L536" s="7">
        <f t="shared" si="2"/>
        <v>669</v>
      </c>
      <c r="M536" s="8">
        <f t="shared" si="3"/>
        <v>44669</v>
      </c>
      <c r="N536" s="9" t="str">
        <f>IFERROR(__xludf.DUMMYFUNCTION("IFS(
REGEXMATCH(LOWER(A536),""option|options""),""Options Strategy Education"",
REGEXMATCH(LOWER(A536),""bank nifty|nifty|index""),""Index Options"",
REGEXMATCH(LOWER(A536),""algo|api|systematic""),""Algo Trading / API Tutorial"",
REGEXMATCH(LOWER(A536),"&amp;"""groww|mtf|margin|pledge""),""Platform / Groww Feature Tutorial"",
REGEXMATCH(LOWER(A536),""candlestick|chart|price action|trendline|rsi|indicator""),""Technical Analysis / Chart Patterns"",
REGEXMATCH(LOWER(A536),""beginner|guide|start trading""),""Begi"&amp;"nner Trading Education"",
REGEXMATCH(LOWER(A536),""interview|journey|talks|wisdom""),""Expert Interview / Trading Insights"",
REGEXMATCH(LOWER(A536),""risk|loss|drawdown|psychology""),""Trading Psychology / Risk Management"",
REGEXMATCH(LOWER(A536),""comm"&amp;"odity|crude|gold|natural gas""),""Commodity Trading Education"",
TRUE,""General Trading Education""
)
"),"Options Strategy Education")</f>
        <v>Options Strategy Education</v>
      </c>
    </row>
    <row r="537" ht="15.75" customHeight="1">
      <c r="A537" s="1" t="s">
        <v>2688</v>
      </c>
      <c r="B537" s="3" t="s">
        <v>2689</v>
      </c>
      <c r="C537" s="1" t="s">
        <v>2690</v>
      </c>
      <c r="D537" s="1" t="s">
        <v>2691</v>
      </c>
      <c r="E537" s="4">
        <v>44673.0</v>
      </c>
      <c r="F537" s="5">
        <v>0.24791666666666667</v>
      </c>
      <c r="G537" s="1">
        <v>19137.0</v>
      </c>
      <c r="H537" s="1">
        <v>576.0</v>
      </c>
      <c r="I537" s="1">
        <v>35.0</v>
      </c>
      <c r="J537" s="3" t="s">
        <v>2692</v>
      </c>
      <c r="K537" s="6">
        <f t="shared" si="1"/>
        <v>3.192767936</v>
      </c>
      <c r="L537" s="7">
        <f t="shared" si="2"/>
        <v>357</v>
      </c>
      <c r="M537" s="8">
        <f t="shared" si="3"/>
        <v>44669</v>
      </c>
      <c r="N537" s="9" t="str">
        <f>IFERROR(__xludf.DUMMYFUNCTION("IFS(
REGEXMATCH(LOWER(A537),""option|options""),""Options Strategy Education"",
REGEXMATCH(LOWER(A537),""bank nifty|nifty|index""),""Index Options"",
REGEXMATCH(LOWER(A537),""algo|api|systematic""),""Algo Trading / API Tutorial"",
REGEXMATCH(LOWER(A537),"&amp;"""groww|mtf|margin|pledge""),""Platform / Groww Feature Tutorial"",
REGEXMATCH(LOWER(A537),""candlestick|chart|price action|trendline|rsi|indicator""),""Technical Analysis / Chart Patterns"",
REGEXMATCH(LOWER(A537),""beginner|guide|start trading""),""Begi"&amp;"nner Trading Education"",
REGEXMATCH(LOWER(A537),""interview|journey|talks|wisdom""),""Expert Interview / Trading Insights"",
REGEXMATCH(LOWER(A537),""risk|loss|drawdown|psychology""),""Trading Psychology / Risk Management"",
REGEXMATCH(LOWER(A537),""comm"&amp;"odity|crude|gold|natural gas""),""Commodity Trading Education"",
TRUE,""General Trading Education""
)
"),"Algo Trading / API Tutorial")</f>
        <v>Algo Trading / API Tutorial</v>
      </c>
    </row>
    <row r="538" ht="15.75" customHeight="1">
      <c r="A538" s="1" t="s">
        <v>2693</v>
      </c>
      <c r="B538" s="3" t="s">
        <v>2694</v>
      </c>
      <c r="C538" s="1" t="s">
        <v>2695</v>
      </c>
      <c r="D538" s="1" t="s">
        <v>2696</v>
      </c>
      <c r="E538" s="4">
        <v>44672.0</v>
      </c>
      <c r="F538" s="5">
        <v>0.4583333333333333</v>
      </c>
      <c r="G538" s="1">
        <v>5141.0</v>
      </c>
      <c r="H538" s="1">
        <v>282.0</v>
      </c>
      <c r="I538" s="1">
        <v>10.0</v>
      </c>
      <c r="J538" s="3" t="s">
        <v>2697</v>
      </c>
      <c r="K538" s="6">
        <f t="shared" si="1"/>
        <v>5.679828827</v>
      </c>
      <c r="L538" s="7">
        <f t="shared" si="2"/>
        <v>660</v>
      </c>
      <c r="M538" s="8">
        <f t="shared" si="3"/>
        <v>44669</v>
      </c>
      <c r="N538" s="9" t="str">
        <f>IFERROR(__xludf.DUMMYFUNCTION("IFS(
REGEXMATCH(LOWER(A538),""option|options""),""Options Strategy Education"",
REGEXMATCH(LOWER(A538),""bank nifty|nifty|index""),""Index Options"",
REGEXMATCH(LOWER(A538),""algo|api|systematic""),""Algo Trading / API Tutorial"",
REGEXMATCH(LOWER(A538),"&amp;"""groww|mtf|margin|pledge""),""Platform / Groww Feature Tutorial"",
REGEXMATCH(LOWER(A538),""candlestick|chart|price action|trendline|rsi|indicator""),""Technical Analysis / Chart Patterns"",
REGEXMATCH(LOWER(A538),""beginner|guide|start trading""),""Begi"&amp;"nner Trading Education"",
REGEXMATCH(LOWER(A538),""interview|journey|talks|wisdom""),""Expert Interview / Trading Insights"",
REGEXMATCH(LOWER(A538),""risk|loss|drawdown|psychology""),""Trading Psychology / Risk Management"",
REGEXMATCH(LOWER(A538),""comm"&amp;"odity|crude|gold|natural gas""),""Commodity Trading Education"",
TRUE,""General Trading Education""
)
"),"General Trading Education")</f>
        <v>General Trading Education</v>
      </c>
    </row>
    <row r="539" ht="15.75" customHeight="1">
      <c r="A539" s="1" t="s">
        <v>2698</v>
      </c>
      <c r="B539" s="3" t="s">
        <v>2699</v>
      </c>
      <c r="C539" s="1" t="s">
        <v>2700</v>
      </c>
      <c r="D539" s="1" t="s">
        <v>2701</v>
      </c>
      <c r="E539" s="4">
        <v>44670.0</v>
      </c>
      <c r="F539" s="5">
        <v>0.5409722222222222</v>
      </c>
      <c r="G539" s="1">
        <v>6308.0</v>
      </c>
      <c r="H539" s="1">
        <v>462.0</v>
      </c>
      <c r="I539" s="1">
        <v>20.0</v>
      </c>
      <c r="J539" s="3" t="s">
        <v>2702</v>
      </c>
      <c r="K539" s="6">
        <f t="shared" si="1"/>
        <v>7.641090679</v>
      </c>
      <c r="L539" s="7">
        <f t="shared" si="2"/>
        <v>779</v>
      </c>
      <c r="M539" s="8">
        <f t="shared" si="3"/>
        <v>44669</v>
      </c>
      <c r="N539" s="9" t="str">
        <f>IFERROR(__xludf.DUMMYFUNCTION("IFS(
REGEXMATCH(LOWER(A539),""option|options""),""Options Strategy Education"",
REGEXMATCH(LOWER(A539),""bank nifty|nifty|index""),""Index Options"",
REGEXMATCH(LOWER(A539),""algo|api|systematic""),""Algo Trading / API Tutorial"",
REGEXMATCH(LOWER(A539),"&amp;"""groww|mtf|margin|pledge""),""Platform / Groww Feature Tutorial"",
REGEXMATCH(LOWER(A539),""candlestick|chart|price action|trendline|rsi|indicator""),""Technical Analysis / Chart Patterns"",
REGEXMATCH(LOWER(A539),""beginner|guide|start trading""),""Begi"&amp;"nner Trading Education"",
REGEXMATCH(LOWER(A539),""interview|journey|talks|wisdom""),""Expert Interview / Trading Insights"",
REGEXMATCH(LOWER(A539),""risk|loss|drawdown|psychology""),""Trading Psychology / Risk Management"",
REGEXMATCH(LOWER(A539),""comm"&amp;"odity|crude|gold|natural gas""),""Commodity Trading Education"",
TRUE,""General Trading Education""
)
"),"Platform / Groww Feature Tutorial")</f>
        <v>Platform / Groww Feature Tutorial</v>
      </c>
    </row>
    <row r="540" ht="15.75" customHeight="1">
      <c r="A540" s="1" t="s">
        <v>2703</v>
      </c>
      <c r="B540" s="3" t="s">
        <v>2704</v>
      </c>
      <c r="C540" s="1" t="s">
        <v>2705</v>
      </c>
      <c r="D540" s="1" t="s">
        <v>2706</v>
      </c>
      <c r="E540" s="4">
        <v>44669.0</v>
      </c>
      <c r="F540" s="5">
        <v>0.24861111111111112</v>
      </c>
      <c r="G540" s="1">
        <v>79922.0</v>
      </c>
      <c r="H540" s="1">
        <v>2541.0</v>
      </c>
      <c r="I540" s="1">
        <v>57.0</v>
      </c>
      <c r="J540" s="3" t="s">
        <v>2707</v>
      </c>
      <c r="K540" s="6">
        <f t="shared" si="1"/>
        <v>3.250669403</v>
      </c>
      <c r="L540" s="7">
        <f t="shared" si="2"/>
        <v>358</v>
      </c>
      <c r="M540" s="8">
        <f t="shared" si="3"/>
        <v>44669</v>
      </c>
      <c r="N540" s="9" t="str">
        <f>IFERROR(__xludf.DUMMYFUNCTION("IFS(
REGEXMATCH(LOWER(A540),""option|options""),""Options Strategy Education"",
REGEXMATCH(LOWER(A540),""bank nifty|nifty|index""),""Index Options"",
REGEXMATCH(LOWER(A540),""algo|api|systematic""),""Algo Trading / API Tutorial"",
REGEXMATCH(LOWER(A540),"&amp;"""groww|mtf|margin|pledge""),""Platform / Groww Feature Tutorial"",
REGEXMATCH(LOWER(A540),""candlestick|chart|price action|trendline|rsi|indicator""),""Technical Analysis / Chart Patterns"",
REGEXMATCH(LOWER(A540),""beginner|guide|start trading""),""Begi"&amp;"nner Trading Education"",
REGEXMATCH(LOWER(A540),""interview|journey|talks|wisdom""),""Expert Interview / Trading Insights"",
REGEXMATCH(LOWER(A540),""risk|loss|drawdown|psychology""),""Trading Psychology / Risk Management"",
REGEXMATCH(LOWER(A540),""comm"&amp;"odity|crude|gold|natural gas""),""Commodity Trading Education"",
TRUE,""General Trading Education""
)
"),"Platform / Groww Feature Tutorial")</f>
        <v>Platform / Groww Feature Tutorial</v>
      </c>
    </row>
    <row r="541" ht="15.75" customHeight="1">
      <c r="A541" s="1" t="s">
        <v>2708</v>
      </c>
      <c r="B541" s="3" t="s">
        <v>2709</v>
      </c>
      <c r="C541" s="1" t="s">
        <v>2710</v>
      </c>
      <c r="D541" s="1" t="s">
        <v>2711</v>
      </c>
      <c r="E541" s="4">
        <v>44668.0</v>
      </c>
      <c r="F541" s="5">
        <v>0.3770833333333333</v>
      </c>
      <c r="G541" s="1">
        <v>30405.0</v>
      </c>
      <c r="H541" s="1">
        <v>1111.0</v>
      </c>
      <c r="I541" s="1">
        <v>24.0</v>
      </c>
      <c r="J541" s="3" t="s">
        <v>2712</v>
      </c>
      <c r="K541" s="6">
        <f t="shared" si="1"/>
        <v>3.732938661</v>
      </c>
      <c r="L541" s="7">
        <f t="shared" si="2"/>
        <v>543</v>
      </c>
      <c r="M541" s="8">
        <f t="shared" si="3"/>
        <v>44662</v>
      </c>
      <c r="N541" s="9" t="str">
        <f>IFERROR(__xludf.DUMMYFUNCTION("IFS(
REGEXMATCH(LOWER(A541),""option|options""),""Options Strategy Education"",
REGEXMATCH(LOWER(A541),""bank nifty|nifty|index""),""Index Options"",
REGEXMATCH(LOWER(A541),""algo|api|systematic""),""Algo Trading / API Tutorial"",
REGEXMATCH(LOWER(A541),"&amp;"""groww|mtf|margin|pledge""),""Platform / Groww Feature Tutorial"",
REGEXMATCH(LOWER(A541),""candlestick|chart|price action|trendline|rsi|indicator""),""Technical Analysis / Chart Patterns"",
REGEXMATCH(LOWER(A541),""beginner|guide|start trading""),""Begi"&amp;"nner Trading Education"",
REGEXMATCH(LOWER(A541),""interview|journey|talks|wisdom""),""Expert Interview / Trading Insights"",
REGEXMATCH(LOWER(A541),""risk|loss|drawdown|psychology""),""Trading Psychology / Risk Management"",
REGEXMATCH(LOWER(A541),""comm"&amp;"odity|crude|gold|natural gas""),""Commodity Trading Education"",
TRUE,""General Trading Education""
)
"),"Options Strategy Education")</f>
        <v>Options Strategy Education</v>
      </c>
    </row>
    <row r="542" ht="15.75" customHeight="1">
      <c r="A542" s="1" t="s">
        <v>2713</v>
      </c>
      <c r="B542" s="3" t="s">
        <v>2714</v>
      </c>
      <c r="C542" s="1" t="s">
        <v>2715</v>
      </c>
      <c r="D542" s="1" t="s">
        <v>2716</v>
      </c>
      <c r="E542" s="4">
        <v>44664.0</v>
      </c>
      <c r="F542" s="5">
        <v>0.4173611111111111</v>
      </c>
      <c r="G542" s="1">
        <v>4724.0</v>
      </c>
      <c r="H542" s="1">
        <v>247.0</v>
      </c>
      <c r="I542" s="1">
        <v>15.0</v>
      </c>
      <c r="J542" s="3" t="s">
        <v>2717</v>
      </c>
      <c r="K542" s="6">
        <f t="shared" si="1"/>
        <v>5.546147333</v>
      </c>
      <c r="L542" s="7">
        <f t="shared" si="2"/>
        <v>601</v>
      </c>
      <c r="M542" s="8">
        <f t="shared" si="3"/>
        <v>44662</v>
      </c>
      <c r="N542" s="9" t="str">
        <f>IFERROR(__xludf.DUMMYFUNCTION("IFS(
REGEXMATCH(LOWER(A542),""option|options""),""Options Strategy Education"",
REGEXMATCH(LOWER(A542),""bank nifty|nifty|index""),""Index Options"",
REGEXMATCH(LOWER(A542),""algo|api|systematic""),""Algo Trading / API Tutorial"",
REGEXMATCH(LOWER(A542),"&amp;"""groww|mtf|margin|pledge""),""Platform / Groww Feature Tutorial"",
REGEXMATCH(LOWER(A542),""candlestick|chart|price action|trendline|rsi|indicator""),""Technical Analysis / Chart Patterns"",
REGEXMATCH(LOWER(A542),""beginner|guide|start trading""),""Begi"&amp;"nner Trading Education"",
REGEXMATCH(LOWER(A542),""interview|journey|talks|wisdom""),""Expert Interview / Trading Insights"",
REGEXMATCH(LOWER(A542),""risk|loss|drawdown|psychology""),""Trading Psychology / Risk Management"",
REGEXMATCH(LOWER(A542),""comm"&amp;"odity|crude|gold|natural gas""),""Commodity Trading Education"",
TRUE,""General Trading Education""
)
"),"Platform / Groww Feature Tutorial")</f>
        <v>Platform / Groww Feature Tutorial</v>
      </c>
    </row>
    <row r="543" ht="15.75" customHeight="1">
      <c r="A543" s="1" t="s">
        <v>2718</v>
      </c>
      <c r="B543" s="3" t="s">
        <v>2719</v>
      </c>
      <c r="C543" s="1" t="s">
        <v>2720</v>
      </c>
      <c r="D543" s="1" t="s">
        <v>2721</v>
      </c>
      <c r="E543" s="4">
        <v>44663.0</v>
      </c>
      <c r="F543" s="5">
        <v>0.5659722222222222</v>
      </c>
      <c r="G543" s="1">
        <v>113044.0</v>
      </c>
      <c r="H543" s="1">
        <v>3150.0</v>
      </c>
      <c r="I543" s="1">
        <v>35.0</v>
      </c>
      <c r="J543" s="3" t="s">
        <v>2722</v>
      </c>
      <c r="K543" s="6">
        <f t="shared" si="1"/>
        <v>2.817486996</v>
      </c>
      <c r="L543" s="7">
        <f t="shared" si="2"/>
        <v>815</v>
      </c>
      <c r="M543" s="8">
        <f t="shared" si="3"/>
        <v>44662</v>
      </c>
      <c r="N543" s="9" t="str">
        <f>IFERROR(__xludf.DUMMYFUNCTION("IFS(
REGEXMATCH(LOWER(A543),""option|options""),""Options Strategy Education"",
REGEXMATCH(LOWER(A543),""bank nifty|nifty|index""),""Index Options"",
REGEXMATCH(LOWER(A543),""algo|api|systematic""),""Algo Trading / API Tutorial"",
REGEXMATCH(LOWER(A543),"&amp;"""groww|mtf|margin|pledge""),""Platform / Groww Feature Tutorial"",
REGEXMATCH(LOWER(A543),""candlestick|chart|price action|trendline|rsi|indicator""),""Technical Analysis / Chart Patterns"",
REGEXMATCH(LOWER(A543),""beginner|guide|start trading""),""Begi"&amp;"nner Trading Education"",
REGEXMATCH(LOWER(A543),""interview|journey|talks|wisdom""),""Expert Interview / Trading Insights"",
REGEXMATCH(LOWER(A543),""risk|loss|drawdown|psychology""),""Trading Psychology / Risk Management"",
REGEXMATCH(LOWER(A543),""comm"&amp;"odity|crude|gold|natural gas""),""Commodity Trading Education"",
TRUE,""General Trading Education""
)
"),"Beginner Trading Education")</f>
        <v>Beginner Trading Education</v>
      </c>
    </row>
    <row r="544" ht="15.75" customHeight="1">
      <c r="A544" s="1" t="s">
        <v>2723</v>
      </c>
      <c r="B544" s="3" t="s">
        <v>2724</v>
      </c>
      <c r="C544" s="1" t="s">
        <v>2725</v>
      </c>
      <c r="D544" s="1" t="s">
        <v>2726</v>
      </c>
      <c r="E544" s="4">
        <v>44662.0</v>
      </c>
      <c r="F544" s="5">
        <v>0.5270833333333333</v>
      </c>
      <c r="G544" s="1">
        <v>255578.0</v>
      </c>
      <c r="H544" s="1">
        <v>6830.0</v>
      </c>
      <c r="I544" s="1">
        <v>88.0</v>
      </c>
      <c r="J544" s="3" t="s">
        <v>2727</v>
      </c>
      <c r="K544" s="6">
        <f t="shared" si="1"/>
        <v>2.70680575</v>
      </c>
      <c r="L544" s="7">
        <f t="shared" si="2"/>
        <v>759</v>
      </c>
      <c r="M544" s="8">
        <f t="shared" si="3"/>
        <v>44662</v>
      </c>
      <c r="N544" s="9" t="str">
        <f>IFERROR(__xludf.DUMMYFUNCTION("IFS(
REGEXMATCH(LOWER(A544),""option|options""),""Options Strategy Education"",
REGEXMATCH(LOWER(A544),""bank nifty|nifty|index""),""Index Options"",
REGEXMATCH(LOWER(A544),""algo|api|systematic""),""Algo Trading / API Tutorial"",
REGEXMATCH(LOWER(A544),"&amp;"""groww|mtf|margin|pledge""),""Platform / Groww Feature Tutorial"",
REGEXMATCH(LOWER(A544),""candlestick|chart|price action|trendline|rsi|indicator""),""Technical Analysis / Chart Patterns"",
REGEXMATCH(LOWER(A544),""beginner|guide|start trading""),""Begi"&amp;"nner Trading Education"",
REGEXMATCH(LOWER(A544),""interview|journey|talks|wisdom""),""Expert Interview / Trading Insights"",
REGEXMATCH(LOWER(A544),""risk|loss|drawdown|psychology""),""Trading Psychology / Risk Management"",
REGEXMATCH(LOWER(A544),""comm"&amp;"odity|crude|gold|natural gas""),""Commodity Trading Education"",
TRUE,""General Trading Education""
)
"),"Platform / Groww Feature Tutorial")</f>
        <v>Platform / Groww Feature Tutorial</v>
      </c>
    </row>
    <row r="545" ht="15.75" customHeight="1">
      <c r="A545" s="1" t="s">
        <v>2728</v>
      </c>
      <c r="B545" s="3" t="s">
        <v>2729</v>
      </c>
      <c r="C545" s="1" t="s">
        <v>2730</v>
      </c>
      <c r="D545" s="1" t="s">
        <v>2731</v>
      </c>
      <c r="E545" s="4">
        <v>44659.0</v>
      </c>
      <c r="F545" s="5">
        <v>0.40625</v>
      </c>
      <c r="G545" s="1">
        <v>6197.0</v>
      </c>
      <c r="H545" s="1">
        <v>320.0</v>
      </c>
      <c r="I545" s="1">
        <v>27.0</v>
      </c>
      <c r="J545" s="3" t="s">
        <v>2732</v>
      </c>
      <c r="K545" s="6">
        <f t="shared" si="1"/>
        <v>5.599483621</v>
      </c>
      <c r="L545" s="7">
        <f t="shared" si="2"/>
        <v>585</v>
      </c>
      <c r="M545" s="8">
        <f t="shared" si="3"/>
        <v>44655</v>
      </c>
      <c r="N545" s="9" t="str">
        <f>IFERROR(__xludf.DUMMYFUNCTION("IFS(
REGEXMATCH(LOWER(A545),""option|options""),""Options Strategy Education"",
REGEXMATCH(LOWER(A545),""bank nifty|nifty|index""),""Index Options"",
REGEXMATCH(LOWER(A545),""algo|api|systematic""),""Algo Trading / API Tutorial"",
REGEXMATCH(LOWER(A545),"&amp;"""groww|mtf|margin|pledge""),""Platform / Groww Feature Tutorial"",
REGEXMATCH(LOWER(A545),""candlestick|chart|price action|trendline|rsi|indicator""),""Technical Analysis / Chart Patterns"",
REGEXMATCH(LOWER(A545),""beginner|guide|start trading""),""Begi"&amp;"nner Trading Education"",
REGEXMATCH(LOWER(A545),""interview|journey|talks|wisdom""),""Expert Interview / Trading Insights"",
REGEXMATCH(LOWER(A545),""risk|loss|drawdown|psychology""),""Trading Psychology / Risk Management"",
REGEXMATCH(LOWER(A545),""comm"&amp;"odity|crude|gold|natural gas""),""Commodity Trading Education"",
TRUE,""General Trading Education""
)
"),"General Trading Education")</f>
        <v>General Trading Education</v>
      </c>
    </row>
    <row r="546" ht="15.75" customHeight="1">
      <c r="A546" s="1" t="s">
        <v>2733</v>
      </c>
      <c r="B546" s="3" t="s">
        <v>2734</v>
      </c>
      <c r="C546" s="1" t="s">
        <v>2735</v>
      </c>
      <c r="D546" s="1" t="s">
        <v>2736</v>
      </c>
      <c r="E546" s="4">
        <v>44658.0</v>
      </c>
      <c r="F546" s="5">
        <v>0.6215277777777778</v>
      </c>
      <c r="G546" s="1">
        <v>4278.0</v>
      </c>
      <c r="H546" s="1">
        <v>163.0</v>
      </c>
      <c r="I546" s="1">
        <v>11.0</v>
      </c>
      <c r="J546" s="3" t="s">
        <v>2737</v>
      </c>
      <c r="K546" s="6">
        <f t="shared" si="1"/>
        <v>4.067321178</v>
      </c>
      <c r="L546" s="7">
        <f t="shared" si="2"/>
        <v>895</v>
      </c>
      <c r="M546" s="8">
        <f t="shared" si="3"/>
        <v>44655</v>
      </c>
      <c r="N546" s="9" t="str">
        <f>IFERROR(__xludf.DUMMYFUNCTION("IFS(
REGEXMATCH(LOWER(A546),""option|options""),""Options Strategy Education"",
REGEXMATCH(LOWER(A546),""bank nifty|nifty|index""),""Index Options"",
REGEXMATCH(LOWER(A546),""algo|api|systematic""),""Algo Trading / API Tutorial"",
REGEXMATCH(LOWER(A546),"&amp;"""groww|mtf|margin|pledge""),""Platform / Groww Feature Tutorial"",
REGEXMATCH(LOWER(A546),""candlestick|chart|price action|trendline|rsi|indicator""),""Technical Analysis / Chart Patterns"",
REGEXMATCH(LOWER(A546),""beginner|guide|start trading""),""Begi"&amp;"nner Trading Education"",
REGEXMATCH(LOWER(A546),""interview|journey|talks|wisdom""),""Expert Interview / Trading Insights"",
REGEXMATCH(LOWER(A546),""risk|loss|drawdown|psychology""),""Trading Psychology / Risk Management"",
REGEXMATCH(LOWER(A546),""comm"&amp;"odity|crude|gold|natural gas""),""Commodity Trading Education"",
TRUE,""General Trading Education""
)
"),"Beginner Trading Education")</f>
        <v>Beginner Trading Education</v>
      </c>
    </row>
    <row r="547" ht="15.75" customHeight="1">
      <c r="A547" s="1" t="s">
        <v>2738</v>
      </c>
      <c r="B547" s="3" t="s">
        <v>2739</v>
      </c>
      <c r="C547" s="1" t="s">
        <v>2740</v>
      </c>
      <c r="D547" s="1" t="s">
        <v>2741</v>
      </c>
      <c r="E547" s="4">
        <v>44655.0</v>
      </c>
      <c r="F547" s="5">
        <v>0.47708333333333336</v>
      </c>
      <c r="G547" s="1">
        <v>3837.0</v>
      </c>
      <c r="H547" s="1">
        <v>221.0</v>
      </c>
      <c r="I547" s="1">
        <v>12.0</v>
      </c>
      <c r="J547" s="3" t="s">
        <v>2742</v>
      </c>
      <c r="K547" s="6">
        <f t="shared" si="1"/>
        <v>6.072452437</v>
      </c>
      <c r="L547" s="7">
        <f t="shared" si="2"/>
        <v>687</v>
      </c>
      <c r="M547" s="8">
        <f t="shared" si="3"/>
        <v>44655</v>
      </c>
      <c r="N547" s="9" t="str">
        <f>IFERROR(__xludf.DUMMYFUNCTION("IFS(
REGEXMATCH(LOWER(A547),""option|options""),""Options Strategy Education"",
REGEXMATCH(LOWER(A547),""bank nifty|nifty|index""),""Index Options"",
REGEXMATCH(LOWER(A547),""algo|api|systematic""),""Algo Trading / API Tutorial"",
REGEXMATCH(LOWER(A547),"&amp;"""groww|mtf|margin|pledge""),""Platform / Groww Feature Tutorial"",
REGEXMATCH(LOWER(A547),""candlestick|chart|price action|trendline|rsi|indicator""),""Technical Analysis / Chart Patterns"",
REGEXMATCH(LOWER(A547),""beginner|guide|start trading""),""Begi"&amp;"nner Trading Education"",
REGEXMATCH(LOWER(A547),""interview|journey|talks|wisdom""),""Expert Interview / Trading Insights"",
REGEXMATCH(LOWER(A547),""risk|loss|drawdown|psychology""),""Trading Psychology / Risk Management"",
REGEXMATCH(LOWER(A547),""comm"&amp;"odity|crude|gold|natural gas""),""Commodity Trading Education"",
TRUE,""General Trading Education""
)
"),"Platform / Groww Feature Tutorial")</f>
        <v>Platform / Groww Feature Tutorial</v>
      </c>
    </row>
    <row r="548" ht="15.75" customHeight="1">
      <c r="A548" s="1" t="s">
        <v>2743</v>
      </c>
      <c r="B548" s="3" t="s">
        <v>2744</v>
      </c>
      <c r="C548" s="1" t="s">
        <v>2745</v>
      </c>
      <c r="D548" s="1" t="s">
        <v>2746</v>
      </c>
      <c r="E548" s="4">
        <v>44652.0</v>
      </c>
      <c r="F548" s="5">
        <v>0.6611111111111111</v>
      </c>
      <c r="G548" s="1">
        <v>67643.0</v>
      </c>
      <c r="H548" s="1">
        <v>2495.0</v>
      </c>
      <c r="I548" s="1">
        <v>28.0</v>
      </c>
      <c r="J548" s="3" t="s">
        <v>2747</v>
      </c>
      <c r="K548" s="6">
        <f t="shared" si="1"/>
        <v>3.729875966</v>
      </c>
      <c r="L548" s="7">
        <f t="shared" si="2"/>
        <v>952</v>
      </c>
      <c r="M548" s="8">
        <f t="shared" si="3"/>
        <v>44648</v>
      </c>
      <c r="N548" s="9" t="str">
        <f>IFERROR(__xludf.DUMMYFUNCTION("IFS(
REGEXMATCH(LOWER(A548),""option|options""),""Options Strategy Education"",
REGEXMATCH(LOWER(A548),""bank nifty|nifty|index""),""Index Options"",
REGEXMATCH(LOWER(A548),""algo|api|systematic""),""Algo Trading / API Tutorial"",
REGEXMATCH(LOWER(A548),"&amp;"""groww|mtf|margin|pledge""),""Platform / Groww Feature Tutorial"",
REGEXMATCH(LOWER(A548),""candlestick|chart|price action|trendline|rsi|indicator""),""Technical Analysis / Chart Patterns"",
REGEXMATCH(LOWER(A548),""beginner|guide|start trading""),""Begi"&amp;"nner Trading Education"",
REGEXMATCH(LOWER(A548),""interview|journey|talks|wisdom""),""Expert Interview / Trading Insights"",
REGEXMATCH(LOWER(A548),""risk|loss|drawdown|psychology""),""Trading Psychology / Risk Management"",
REGEXMATCH(LOWER(A548),""comm"&amp;"odity|crude|gold|natural gas""),""Commodity Trading Education"",
TRUE,""General Trading Education""
)
"),"Platform / Groww Feature Tutorial")</f>
        <v>Platform / Groww Feature Tutorial</v>
      </c>
    </row>
    <row r="549" ht="15.75" customHeight="1">
      <c r="A549" s="1" t="s">
        <v>2748</v>
      </c>
      <c r="B549" s="3" t="s">
        <v>2749</v>
      </c>
      <c r="C549" s="1" t="s">
        <v>2750</v>
      </c>
      <c r="D549" s="1" t="s">
        <v>2751</v>
      </c>
      <c r="E549" s="4">
        <v>44648.0</v>
      </c>
      <c r="F549" s="5">
        <v>0.575</v>
      </c>
      <c r="G549" s="1">
        <v>4490.0</v>
      </c>
      <c r="H549" s="1">
        <v>196.0</v>
      </c>
      <c r="I549" s="1">
        <v>5.0</v>
      </c>
      <c r="J549" s="3" t="s">
        <v>2752</v>
      </c>
      <c r="K549" s="6">
        <f t="shared" si="1"/>
        <v>4.476614699</v>
      </c>
      <c r="L549" s="7">
        <f t="shared" si="2"/>
        <v>828</v>
      </c>
      <c r="M549" s="8">
        <f t="shared" si="3"/>
        <v>44648</v>
      </c>
      <c r="N549" s="9" t="str">
        <f>IFERROR(__xludf.DUMMYFUNCTION("IFS(
REGEXMATCH(LOWER(A549),""option|options""),""Options Strategy Education"",
REGEXMATCH(LOWER(A549),""bank nifty|nifty|index""),""Index Options"",
REGEXMATCH(LOWER(A549),""algo|api|systematic""),""Algo Trading / API Tutorial"",
REGEXMATCH(LOWER(A549),"&amp;"""groww|mtf|margin|pledge""),""Platform / Groww Feature Tutorial"",
REGEXMATCH(LOWER(A549),""candlestick|chart|price action|trendline|rsi|indicator""),""Technical Analysis / Chart Patterns"",
REGEXMATCH(LOWER(A549),""beginner|guide|start trading""),""Begi"&amp;"nner Trading Education"",
REGEXMATCH(LOWER(A549),""interview|journey|talks|wisdom""),""Expert Interview / Trading Insights"",
REGEXMATCH(LOWER(A549),""risk|loss|drawdown|psychology""),""Trading Psychology / Risk Management"",
REGEXMATCH(LOWER(A549),""comm"&amp;"odity|crude|gold|natural gas""),""Commodity Trading Education"",
TRUE,""General Trading Education""
)
"),"Platform / Groww Feature Tutorial")</f>
        <v>Platform / Groww Feature Tutorial</v>
      </c>
    </row>
    <row r="550" ht="15.75" customHeight="1">
      <c r="A550" s="1" t="s">
        <v>2753</v>
      </c>
      <c r="B550" s="3" t="s">
        <v>2754</v>
      </c>
      <c r="C550" s="1" t="s">
        <v>2755</v>
      </c>
      <c r="D550" s="1" t="s">
        <v>2756</v>
      </c>
      <c r="E550" s="4">
        <v>44646.0</v>
      </c>
      <c r="F550" s="5">
        <v>0.3951388888888889</v>
      </c>
      <c r="G550" s="1">
        <v>42040.0</v>
      </c>
      <c r="H550" s="1">
        <v>1107.0</v>
      </c>
      <c r="I550" s="1">
        <v>15.0</v>
      </c>
      <c r="J550" s="3" t="s">
        <v>2757</v>
      </c>
      <c r="K550" s="6">
        <f t="shared" si="1"/>
        <v>2.668886775</v>
      </c>
      <c r="L550" s="7">
        <f t="shared" si="2"/>
        <v>569</v>
      </c>
      <c r="M550" s="8">
        <f t="shared" si="3"/>
        <v>44641</v>
      </c>
      <c r="N550" s="9" t="str">
        <f>IFERROR(__xludf.DUMMYFUNCTION("IFS(
REGEXMATCH(LOWER(A550),""option|options""),""Options Strategy Education"",
REGEXMATCH(LOWER(A550),""bank nifty|nifty|index""),""Index Options"",
REGEXMATCH(LOWER(A550),""algo|api|systematic""),""Algo Trading / API Tutorial"",
REGEXMATCH(LOWER(A550),"&amp;"""groww|mtf|margin|pledge""),""Platform / Groww Feature Tutorial"",
REGEXMATCH(LOWER(A550),""candlestick|chart|price action|trendline|rsi|indicator""),""Technical Analysis / Chart Patterns"",
REGEXMATCH(LOWER(A550),""beginner|guide|start trading""),""Begi"&amp;"nner Trading Education"",
REGEXMATCH(LOWER(A550),""interview|journey|talks|wisdom""),""Expert Interview / Trading Insights"",
REGEXMATCH(LOWER(A550),""risk|loss|drawdown|psychology""),""Trading Psychology / Risk Management"",
REGEXMATCH(LOWER(A550),""comm"&amp;"odity|crude|gold|natural gas""),""Commodity Trading Education"",
TRUE,""General Trading Education""
)
"),"Platform / Groww Feature Tutorial")</f>
        <v>Platform / Groww Feature Tutorial</v>
      </c>
    </row>
    <row r="551" ht="15.75" customHeight="1">
      <c r="A551" s="1" t="s">
        <v>2758</v>
      </c>
      <c r="B551" s="3" t="s">
        <v>2759</v>
      </c>
      <c r="C551" s="1" t="s">
        <v>2760</v>
      </c>
      <c r="D551" s="1" t="s">
        <v>2761</v>
      </c>
      <c r="E551" s="4">
        <v>44644.0</v>
      </c>
      <c r="F551" s="5">
        <v>0.4222222222222222</v>
      </c>
      <c r="G551" s="1">
        <v>2932.0</v>
      </c>
      <c r="H551" s="1">
        <v>157.0</v>
      </c>
      <c r="I551" s="1">
        <v>7.0</v>
      </c>
      <c r="J551" s="3" t="s">
        <v>2762</v>
      </c>
      <c r="K551" s="6">
        <f t="shared" si="1"/>
        <v>5.593451569</v>
      </c>
      <c r="L551" s="7">
        <f t="shared" si="2"/>
        <v>608</v>
      </c>
      <c r="M551" s="8">
        <f t="shared" si="3"/>
        <v>44641</v>
      </c>
      <c r="N551" s="9" t="str">
        <f>IFERROR(__xludf.DUMMYFUNCTION("IFS(
REGEXMATCH(LOWER(A551),""option|options""),""Options Strategy Education"",
REGEXMATCH(LOWER(A551),""bank nifty|nifty|index""),""Index Options"",
REGEXMATCH(LOWER(A551),""algo|api|systematic""),""Algo Trading / API Tutorial"",
REGEXMATCH(LOWER(A551),"&amp;"""groww|mtf|margin|pledge""),""Platform / Groww Feature Tutorial"",
REGEXMATCH(LOWER(A551),""candlestick|chart|price action|trendline|rsi|indicator""),""Technical Analysis / Chart Patterns"",
REGEXMATCH(LOWER(A551),""beginner|guide|start trading""),""Begi"&amp;"nner Trading Education"",
REGEXMATCH(LOWER(A551),""interview|journey|talks|wisdom""),""Expert Interview / Trading Insights"",
REGEXMATCH(LOWER(A551),""risk|loss|drawdown|psychology""),""Trading Psychology / Risk Management"",
REGEXMATCH(LOWER(A551),""comm"&amp;"odity|crude|gold|natural gas""),""Commodity Trading Education"",
TRUE,""General Trading Education""
)
"),"General Trading Education")</f>
        <v>General Trading Education</v>
      </c>
    </row>
    <row r="552" ht="15.75" customHeight="1">
      <c r="A552" s="1" t="s">
        <v>2763</v>
      </c>
      <c r="B552" s="3" t="s">
        <v>2764</v>
      </c>
      <c r="C552" s="1" t="s">
        <v>2765</v>
      </c>
      <c r="D552" s="1" t="s">
        <v>2766</v>
      </c>
      <c r="E552" s="4">
        <v>44640.0</v>
      </c>
      <c r="F552" s="5">
        <v>0.4222222222222222</v>
      </c>
      <c r="G552" s="1">
        <v>2974.0</v>
      </c>
      <c r="H552" s="1">
        <v>171.0</v>
      </c>
      <c r="I552" s="1">
        <v>3.0</v>
      </c>
      <c r="J552" s="3" t="s">
        <v>2767</v>
      </c>
      <c r="K552" s="6">
        <f t="shared" si="1"/>
        <v>5.85070612</v>
      </c>
      <c r="L552" s="7">
        <f t="shared" si="2"/>
        <v>608</v>
      </c>
      <c r="M552" s="8">
        <f t="shared" si="3"/>
        <v>44634</v>
      </c>
      <c r="N552" s="9" t="str">
        <f>IFERROR(__xludf.DUMMYFUNCTION("IFS(
REGEXMATCH(LOWER(A552),""option|options""),""Options Strategy Education"",
REGEXMATCH(LOWER(A552),""bank nifty|nifty|index""),""Index Options"",
REGEXMATCH(LOWER(A552),""algo|api|systematic""),""Algo Trading / API Tutorial"",
REGEXMATCH(LOWER(A552),"&amp;"""groww|mtf|margin|pledge""),""Platform / Groww Feature Tutorial"",
REGEXMATCH(LOWER(A552),""candlestick|chart|price action|trendline|rsi|indicator""),""Technical Analysis / Chart Patterns"",
REGEXMATCH(LOWER(A552),""beginner|guide|start trading""),""Begi"&amp;"nner Trading Education"",
REGEXMATCH(LOWER(A552),""interview|journey|talks|wisdom""),""Expert Interview / Trading Insights"",
REGEXMATCH(LOWER(A552),""risk|loss|drawdown|psychology""),""Trading Psychology / Risk Management"",
REGEXMATCH(LOWER(A552),""comm"&amp;"odity|crude|gold|natural gas""),""Commodity Trading Education"",
TRUE,""General Trading Education""
)
"),"Platform / Groww Feature Tutorial")</f>
        <v>Platform / Groww Feature Tutorial</v>
      </c>
    </row>
    <row r="553" ht="15.75" customHeight="1">
      <c r="A553" s="1" t="s">
        <v>2768</v>
      </c>
      <c r="B553" s="3" t="s">
        <v>2769</v>
      </c>
      <c r="C553" s="1" t="s">
        <v>2770</v>
      </c>
      <c r="D553" s="1" t="s">
        <v>2771</v>
      </c>
      <c r="E553" s="4">
        <v>44633.0</v>
      </c>
      <c r="F553" s="5">
        <v>0.55</v>
      </c>
      <c r="G553" s="1">
        <v>16242.0</v>
      </c>
      <c r="H553" s="1">
        <v>910.0</v>
      </c>
      <c r="I553" s="1">
        <v>39.0</v>
      </c>
      <c r="J553" s="3" t="s">
        <v>2772</v>
      </c>
      <c r="K553" s="6">
        <f t="shared" si="1"/>
        <v>5.842876493</v>
      </c>
      <c r="L553" s="7">
        <f t="shared" si="2"/>
        <v>792</v>
      </c>
      <c r="M553" s="8">
        <f t="shared" si="3"/>
        <v>44627</v>
      </c>
      <c r="N553" s="9" t="str">
        <f>IFERROR(__xludf.DUMMYFUNCTION("IFS(
REGEXMATCH(LOWER(A553),""option|options""),""Options Strategy Education"",
REGEXMATCH(LOWER(A553),""bank nifty|nifty|index""),""Index Options"",
REGEXMATCH(LOWER(A553),""algo|api|systematic""),""Algo Trading / API Tutorial"",
REGEXMATCH(LOWER(A553),"&amp;"""groww|mtf|margin|pledge""),""Platform / Groww Feature Tutorial"",
REGEXMATCH(LOWER(A553),""candlestick|chart|price action|trendline|rsi|indicator""),""Technical Analysis / Chart Patterns"",
REGEXMATCH(LOWER(A553),""beginner|guide|start trading""),""Begi"&amp;"nner Trading Education"",
REGEXMATCH(LOWER(A553),""interview|journey|talks|wisdom""),""Expert Interview / Trading Insights"",
REGEXMATCH(LOWER(A553),""risk|loss|drawdown|psychology""),""Trading Psychology / Risk Management"",
REGEXMATCH(LOWER(A553),""comm"&amp;"odity|crude|gold|natural gas""),""Commodity Trading Education"",
TRUE,""General Trading Education""
)
"),"Platform / Groww Feature Tutorial")</f>
        <v>Platform / Groww Feature Tutorial</v>
      </c>
    </row>
    <row r="554" ht="15.75" customHeight="1">
      <c r="A554" s="1" t="s">
        <v>2773</v>
      </c>
      <c r="B554" s="3" t="s">
        <v>2774</v>
      </c>
      <c r="C554" s="1" t="s">
        <v>2775</v>
      </c>
      <c r="D554" s="1" t="s">
        <v>2776</v>
      </c>
      <c r="E554" s="4">
        <v>44623.0</v>
      </c>
      <c r="F554" s="5">
        <v>0.43333333333333335</v>
      </c>
      <c r="G554" s="1">
        <v>3388.0</v>
      </c>
      <c r="H554" s="1">
        <v>176.0</v>
      </c>
      <c r="I554" s="1">
        <v>1.0</v>
      </c>
      <c r="J554" s="3" t="s">
        <v>2777</v>
      </c>
      <c r="K554" s="6">
        <f t="shared" si="1"/>
        <v>5.224321133</v>
      </c>
      <c r="L554" s="7">
        <f t="shared" si="2"/>
        <v>624</v>
      </c>
      <c r="M554" s="8">
        <f t="shared" si="3"/>
        <v>44620</v>
      </c>
      <c r="N554" s="9" t="str">
        <f>IFERROR(__xludf.DUMMYFUNCTION("IFS(
REGEXMATCH(LOWER(A554),""option|options""),""Options Strategy Education"",
REGEXMATCH(LOWER(A554),""bank nifty|nifty|index""),""Index Options"",
REGEXMATCH(LOWER(A554),""algo|api|systematic""),""Algo Trading / API Tutorial"",
REGEXMATCH(LOWER(A554),"&amp;"""groww|mtf|margin|pledge""),""Platform / Groww Feature Tutorial"",
REGEXMATCH(LOWER(A554),""candlestick|chart|price action|trendline|rsi|indicator""),""Technical Analysis / Chart Patterns"",
REGEXMATCH(LOWER(A554),""beginner|guide|start trading""),""Begi"&amp;"nner Trading Education"",
REGEXMATCH(LOWER(A554),""interview|journey|talks|wisdom""),""Expert Interview / Trading Insights"",
REGEXMATCH(LOWER(A554),""risk|loss|drawdown|psychology""),""Trading Psychology / Risk Management"",
REGEXMATCH(LOWER(A554),""comm"&amp;"odity|crude|gold|natural gas""),""Commodity Trading Education"",
TRUE,""General Trading Education""
)
"),"Platform / Groww Feature Tutorial")</f>
        <v>Platform / Groww Feature Tutorial</v>
      </c>
    </row>
    <row r="555" ht="15.75" customHeight="1">
      <c r="A555" s="1" t="s">
        <v>2778</v>
      </c>
      <c r="B555" s="3" t="s">
        <v>2779</v>
      </c>
      <c r="C555" s="1" t="s">
        <v>2780</v>
      </c>
      <c r="D555" s="1" t="s">
        <v>2781</v>
      </c>
      <c r="E555" s="4">
        <v>44612.0</v>
      </c>
      <c r="F555" s="5">
        <v>0.5131944444444444</v>
      </c>
      <c r="G555" s="1">
        <v>13319.0</v>
      </c>
      <c r="H555" s="1">
        <v>726.0</v>
      </c>
      <c r="I555" s="1">
        <v>13.0</v>
      </c>
      <c r="J555" s="3" t="s">
        <v>2782</v>
      </c>
      <c r="K555" s="6">
        <f t="shared" si="1"/>
        <v>5.548464599</v>
      </c>
      <c r="L555" s="7">
        <f t="shared" si="2"/>
        <v>739</v>
      </c>
      <c r="M555" s="8">
        <f t="shared" si="3"/>
        <v>44606</v>
      </c>
      <c r="N555" s="9" t="str">
        <f>IFERROR(__xludf.DUMMYFUNCTION("IFS(
REGEXMATCH(LOWER(A555),""option|options""),""Options Strategy Education"",
REGEXMATCH(LOWER(A555),""bank nifty|nifty|index""),""Index Options"",
REGEXMATCH(LOWER(A555),""algo|api|systematic""),""Algo Trading / API Tutorial"",
REGEXMATCH(LOWER(A555),"&amp;"""groww|mtf|margin|pledge""),""Platform / Groww Feature Tutorial"",
REGEXMATCH(LOWER(A555),""candlestick|chart|price action|trendline|rsi|indicator""),""Technical Analysis / Chart Patterns"",
REGEXMATCH(LOWER(A555),""beginner|guide|start trading""),""Begi"&amp;"nner Trading Education"",
REGEXMATCH(LOWER(A555),""interview|journey|talks|wisdom""),""Expert Interview / Trading Insights"",
REGEXMATCH(LOWER(A555),""risk|loss|drawdown|psychology""),""Trading Psychology / Risk Management"",
REGEXMATCH(LOWER(A555),""comm"&amp;"odity|crude|gold|natural gas""),""Commodity Trading Education"",
TRUE,""General Trading Education""
)
"),"Technical Analysis / Chart Patterns")</f>
        <v>Technical Analysis / Chart Patterns</v>
      </c>
    </row>
    <row r="556" ht="15.75" customHeight="1">
      <c r="A556" s="1" t="s">
        <v>2783</v>
      </c>
      <c r="B556" s="3" t="s">
        <v>2784</v>
      </c>
      <c r="C556" s="1" t="s">
        <v>2785</v>
      </c>
      <c r="D556" s="1" t="s">
        <v>2786</v>
      </c>
      <c r="E556" s="4">
        <v>44612.0</v>
      </c>
      <c r="F556" s="5">
        <v>0.6138888888888889</v>
      </c>
      <c r="G556" s="1">
        <v>4648.0</v>
      </c>
      <c r="H556" s="1">
        <v>246.0</v>
      </c>
      <c r="I556" s="1">
        <v>9.0</v>
      </c>
      <c r="J556" s="3" t="s">
        <v>2787</v>
      </c>
      <c r="K556" s="6">
        <f t="shared" si="1"/>
        <v>5.486230637</v>
      </c>
      <c r="L556" s="7">
        <f t="shared" si="2"/>
        <v>884</v>
      </c>
      <c r="M556" s="8">
        <f t="shared" si="3"/>
        <v>44606</v>
      </c>
      <c r="N556" s="9" t="str">
        <f>IFERROR(__xludf.DUMMYFUNCTION("IFS(
REGEXMATCH(LOWER(A556),""option|options""),""Options Strategy Education"",
REGEXMATCH(LOWER(A556),""bank nifty|nifty|index""),""Index Options"",
REGEXMATCH(LOWER(A556),""algo|api|systematic""),""Algo Trading / API Tutorial"",
REGEXMATCH(LOWER(A556),"&amp;"""groww|mtf|margin|pledge""),""Platform / Groww Feature Tutorial"",
REGEXMATCH(LOWER(A556),""candlestick|chart|price action|trendline|rsi|indicator""),""Technical Analysis / Chart Patterns"",
REGEXMATCH(LOWER(A556),""beginner|guide|start trading""),""Begi"&amp;"nner Trading Education"",
REGEXMATCH(LOWER(A556),""interview|journey|talks|wisdom""),""Expert Interview / Trading Insights"",
REGEXMATCH(LOWER(A556),""risk|loss|drawdown|psychology""),""Trading Psychology / Risk Management"",
REGEXMATCH(LOWER(A556),""comm"&amp;"odity|crude|gold|natural gas""),""Commodity Trading Education"",
TRUE,""General Trading Education""
)
"),"Beginner Trading Education")</f>
        <v>Beginner Trading Education</v>
      </c>
    </row>
    <row r="557" ht="15.75" customHeight="1">
      <c r="A557" s="1" t="s">
        <v>2788</v>
      </c>
      <c r="B557" s="3" t="s">
        <v>2789</v>
      </c>
      <c r="C557" s="1" t="s">
        <v>2790</v>
      </c>
      <c r="D557" s="1" t="s">
        <v>2791</v>
      </c>
      <c r="E557" s="4">
        <v>44605.0</v>
      </c>
      <c r="F557" s="10">
        <v>1.2201388888888889</v>
      </c>
      <c r="G557" s="1">
        <v>236104.0</v>
      </c>
      <c r="H557" s="1">
        <v>8672.0</v>
      </c>
      <c r="I557" s="1">
        <v>90.0</v>
      </c>
      <c r="J557" s="3" t="s">
        <v>2792</v>
      </c>
      <c r="K557" s="6">
        <f t="shared" si="1"/>
        <v>3.711076475</v>
      </c>
      <c r="L557" s="7">
        <f t="shared" si="2"/>
        <v>1757</v>
      </c>
      <c r="M557" s="8">
        <f t="shared" si="3"/>
        <v>44599</v>
      </c>
      <c r="N557" s="9" t="str">
        <f>IFERROR(__xludf.DUMMYFUNCTION("IFS(
REGEXMATCH(LOWER(A557),""option|options""),""Options Strategy Education"",
REGEXMATCH(LOWER(A557),""bank nifty|nifty|index""),""Index Options"",
REGEXMATCH(LOWER(A557),""algo|api|systematic""),""Algo Trading / API Tutorial"",
REGEXMATCH(LOWER(A557),"&amp;"""groww|mtf|margin|pledge""),""Platform / Groww Feature Tutorial"",
REGEXMATCH(LOWER(A557),""candlestick|chart|price action|trendline|rsi|indicator""),""Technical Analysis / Chart Patterns"",
REGEXMATCH(LOWER(A557),""beginner|guide|start trading""),""Begi"&amp;"nner Trading Education"",
REGEXMATCH(LOWER(A557),""interview|journey|talks|wisdom""),""Expert Interview / Trading Insights"",
REGEXMATCH(LOWER(A557),""risk|loss|drawdown|psychology""),""Trading Psychology / Risk Management"",
REGEXMATCH(LOWER(A557),""comm"&amp;"odity|crude|gold|natural gas""),""Commodity Trading Education"",
TRUE,""General Trading Education""
)
"),"Platform / Groww Feature Tutorial")</f>
        <v>Platform / Groww Feature Tutorial</v>
      </c>
    </row>
    <row r="558" ht="15.75" customHeight="1">
      <c r="A558" s="1" t="s">
        <v>2793</v>
      </c>
      <c r="B558" s="3" t="s">
        <v>2794</v>
      </c>
      <c r="C558" s="1" t="s">
        <v>2795</v>
      </c>
      <c r="D558" s="1" t="s">
        <v>2796</v>
      </c>
      <c r="E558" s="4">
        <v>44599.0</v>
      </c>
      <c r="F558" s="5">
        <v>0.6020833333333333</v>
      </c>
      <c r="G558" s="1">
        <v>15671.0</v>
      </c>
      <c r="H558" s="1">
        <v>515.0</v>
      </c>
      <c r="I558" s="1">
        <v>13.0</v>
      </c>
      <c r="J558" s="3" t="s">
        <v>2797</v>
      </c>
      <c r="K558" s="6">
        <f t="shared" si="1"/>
        <v>3.369280837</v>
      </c>
      <c r="L558" s="7">
        <f t="shared" si="2"/>
        <v>867</v>
      </c>
      <c r="M558" s="8">
        <f t="shared" si="3"/>
        <v>44599</v>
      </c>
      <c r="N558" s="9" t="str">
        <f>IFERROR(__xludf.DUMMYFUNCTION("IFS(
REGEXMATCH(LOWER(A558),""option|options""),""Options Strategy Education"",
REGEXMATCH(LOWER(A558),""bank nifty|nifty|index""),""Index Options"",
REGEXMATCH(LOWER(A558),""algo|api|systematic""),""Algo Trading / API Tutorial"",
REGEXMATCH(LOWER(A558),"&amp;"""groww|mtf|margin|pledge""),""Platform / Groww Feature Tutorial"",
REGEXMATCH(LOWER(A558),""candlestick|chart|price action|trendline|rsi|indicator""),""Technical Analysis / Chart Patterns"",
REGEXMATCH(LOWER(A558),""beginner|guide|start trading""),""Begi"&amp;"nner Trading Education"",
REGEXMATCH(LOWER(A558),""interview|journey|talks|wisdom""),""Expert Interview / Trading Insights"",
REGEXMATCH(LOWER(A558),""risk|loss|drawdown|psychology""),""Trading Psychology / Risk Management"",
REGEXMATCH(LOWER(A558),""comm"&amp;"odity|crude|gold|natural gas""),""Commodity Trading Education"",
TRUE,""General Trading Education""
)
"),"Platform / Groww Feature Tutorial")</f>
        <v>Platform / Groww Feature Tutorial</v>
      </c>
    </row>
    <row r="559" ht="15.75" customHeight="1">
      <c r="A559" s="1" t="s">
        <v>2798</v>
      </c>
      <c r="B559" s="3" t="s">
        <v>2799</v>
      </c>
      <c r="C559" s="1" t="s">
        <v>2800</v>
      </c>
      <c r="D559" s="1" t="s">
        <v>2801</v>
      </c>
      <c r="E559" s="4">
        <v>44592.0</v>
      </c>
      <c r="F559" s="5">
        <v>0.6472222222222223</v>
      </c>
      <c r="G559" s="1">
        <v>13133.0</v>
      </c>
      <c r="H559" s="1">
        <v>422.0</v>
      </c>
      <c r="I559" s="1">
        <v>15.0</v>
      </c>
      <c r="J559" s="3" t="s">
        <v>2802</v>
      </c>
      <c r="K559" s="6">
        <f t="shared" si="1"/>
        <v>3.327495622</v>
      </c>
      <c r="L559" s="7">
        <f t="shared" si="2"/>
        <v>932</v>
      </c>
      <c r="M559" s="8">
        <f t="shared" si="3"/>
        <v>44592</v>
      </c>
      <c r="N559" s="9" t="str">
        <f>IFERROR(__xludf.DUMMYFUNCTION("IFS(
REGEXMATCH(LOWER(A559),""option|options""),""Options Strategy Education"",
REGEXMATCH(LOWER(A559),""bank nifty|nifty|index""),""Index Options"",
REGEXMATCH(LOWER(A559),""algo|api|systematic""),""Algo Trading / API Tutorial"",
REGEXMATCH(LOWER(A559),"&amp;"""groww|mtf|margin|pledge""),""Platform / Groww Feature Tutorial"",
REGEXMATCH(LOWER(A559),""candlestick|chart|price action|trendline|rsi|indicator""),""Technical Analysis / Chart Patterns"",
REGEXMATCH(LOWER(A559),""beginner|guide|start trading""),""Begi"&amp;"nner Trading Education"",
REGEXMATCH(LOWER(A559),""interview|journey|talks|wisdom""),""Expert Interview / Trading Insights"",
REGEXMATCH(LOWER(A559),""risk|loss|drawdown|psychology""),""Trading Psychology / Risk Management"",
REGEXMATCH(LOWER(A559),""comm"&amp;"odity|crude|gold|natural gas""),""Commodity Trading Education"",
TRUE,""General Trading Education""
)
"),"General Trading Education")</f>
        <v>General Trading Education</v>
      </c>
    </row>
    <row r="560" ht="15.75" customHeight="1">
      <c r="A560" s="1" t="s">
        <v>2803</v>
      </c>
      <c r="B560" s="3" t="s">
        <v>2804</v>
      </c>
      <c r="C560" s="1" t="s">
        <v>2805</v>
      </c>
      <c r="D560" s="1" t="s">
        <v>2806</v>
      </c>
      <c r="E560" s="4">
        <v>44590.0</v>
      </c>
      <c r="F560" s="10">
        <v>1.2430555555555556</v>
      </c>
      <c r="G560" s="1">
        <v>13578.0</v>
      </c>
      <c r="H560" s="1">
        <v>519.0</v>
      </c>
      <c r="I560" s="1">
        <v>34.0</v>
      </c>
      <c r="J560" s="3" t="s">
        <v>2807</v>
      </c>
      <c r="K560" s="6">
        <f t="shared" si="1"/>
        <v>4.072764767</v>
      </c>
      <c r="L560" s="7">
        <f t="shared" si="2"/>
        <v>1790</v>
      </c>
      <c r="M560" s="8">
        <f t="shared" si="3"/>
        <v>44585</v>
      </c>
      <c r="N560" s="9" t="str">
        <f>IFERROR(__xludf.DUMMYFUNCTION("IFS(
REGEXMATCH(LOWER(A560),""option|options""),""Options Strategy Education"",
REGEXMATCH(LOWER(A560),""bank nifty|nifty|index""),""Index Options"",
REGEXMATCH(LOWER(A560),""algo|api|systematic""),""Algo Trading / API Tutorial"",
REGEXMATCH(LOWER(A560),"&amp;"""groww|mtf|margin|pledge""),""Platform / Groww Feature Tutorial"",
REGEXMATCH(LOWER(A560),""candlestick|chart|price action|trendline|rsi|indicator""),""Technical Analysis / Chart Patterns"",
REGEXMATCH(LOWER(A560),""beginner|guide|start trading""),""Begi"&amp;"nner Trading Education"",
REGEXMATCH(LOWER(A560),""interview|journey|talks|wisdom""),""Expert Interview / Trading Insights"",
REGEXMATCH(LOWER(A560),""risk|loss|drawdown|psychology""),""Trading Psychology / Risk Management"",
REGEXMATCH(LOWER(A560),""comm"&amp;"odity|crude|gold|natural gas""),""Commodity Trading Education"",
TRUE,""General Trading Education""
)
"),"Platform / Groww Feature Tutorial")</f>
        <v>Platform / Groww Feature Tutorial</v>
      </c>
    </row>
    <row r="561" ht="15.75" customHeight="1">
      <c r="A561" s="1" t="s">
        <v>2808</v>
      </c>
      <c r="B561" s="3" t="s">
        <v>2809</v>
      </c>
      <c r="C561" s="1" t="s">
        <v>2810</v>
      </c>
      <c r="D561" s="1" t="s">
        <v>2811</v>
      </c>
      <c r="E561" s="4">
        <v>44578.0</v>
      </c>
      <c r="F561" s="5">
        <v>0.4798611111111111</v>
      </c>
      <c r="G561" s="1">
        <v>47946.0</v>
      </c>
      <c r="H561" s="1">
        <v>1671.0</v>
      </c>
      <c r="I561" s="1">
        <v>33.0</v>
      </c>
      <c r="J561" s="3" t="s">
        <v>2812</v>
      </c>
      <c r="K561" s="6">
        <f t="shared" si="1"/>
        <v>3.553998248</v>
      </c>
      <c r="L561" s="7">
        <f t="shared" si="2"/>
        <v>691</v>
      </c>
      <c r="M561" s="8">
        <f t="shared" si="3"/>
        <v>44578</v>
      </c>
      <c r="N561" s="9" t="str">
        <f>IFERROR(__xludf.DUMMYFUNCTION("IFS(
REGEXMATCH(LOWER(A561),""option|options""),""Options Strategy Education"",
REGEXMATCH(LOWER(A561),""bank nifty|nifty|index""),""Index Options"",
REGEXMATCH(LOWER(A561),""algo|api|systematic""),""Algo Trading / API Tutorial"",
REGEXMATCH(LOWER(A561),"&amp;"""groww|mtf|margin|pledge""),""Platform / Groww Feature Tutorial"",
REGEXMATCH(LOWER(A561),""candlestick|chart|price action|trendline|rsi|indicator""),""Technical Analysis / Chart Patterns"",
REGEXMATCH(LOWER(A561),""beginner|guide|start trading""),""Begi"&amp;"nner Trading Education"",
REGEXMATCH(LOWER(A561),""interview|journey|talks|wisdom""),""Expert Interview / Trading Insights"",
REGEXMATCH(LOWER(A561),""risk|loss|drawdown|psychology""),""Trading Psychology / Risk Management"",
REGEXMATCH(LOWER(A561),""comm"&amp;"odity|crude|gold|natural gas""),""Commodity Trading Education"",
TRUE,""General Trading Education""
)
"),"Beginner Trading Education")</f>
        <v>Beginner Trading Education</v>
      </c>
    </row>
    <row r="562" ht="15.75" customHeight="1">
      <c r="A562" s="1" t="s">
        <v>2813</v>
      </c>
      <c r="B562" s="3" t="s">
        <v>2814</v>
      </c>
      <c r="C562" s="1" t="s">
        <v>2815</v>
      </c>
      <c r="D562" s="1" t="s">
        <v>2816</v>
      </c>
      <c r="E562" s="4">
        <v>44575.0</v>
      </c>
      <c r="F562" s="5">
        <v>0.42291666666666666</v>
      </c>
      <c r="G562" s="1">
        <v>5622.0</v>
      </c>
      <c r="H562" s="1">
        <v>270.0</v>
      </c>
      <c r="I562" s="1">
        <v>12.0</v>
      </c>
      <c r="J562" s="3" t="s">
        <v>2817</v>
      </c>
      <c r="K562" s="6">
        <f t="shared" si="1"/>
        <v>5.016008538</v>
      </c>
      <c r="L562" s="7">
        <f t="shared" si="2"/>
        <v>609</v>
      </c>
      <c r="M562" s="8">
        <f t="shared" si="3"/>
        <v>44571</v>
      </c>
      <c r="N562" s="9" t="str">
        <f>IFERROR(__xludf.DUMMYFUNCTION("IFS(
REGEXMATCH(LOWER(A562),""option|options""),""Options Strategy Education"",
REGEXMATCH(LOWER(A562),""bank nifty|nifty|index""),""Index Options"",
REGEXMATCH(LOWER(A562),""algo|api|systematic""),""Algo Trading / API Tutorial"",
REGEXMATCH(LOWER(A562),"&amp;"""groww|mtf|margin|pledge""),""Platform / Groww Feature Tutorial"",
REGEXMATCH(LOWER(A562),""candlestick|chart|price action|trendline|rsi|indicator""),""Technical Analysis / Chart Patterns"",
REGEXMATCH(LOWER(A562),""beginner|guide|start trading""),""Begi"&amp;"nner Trading Education"",
REGEXMATCH(LOWER(A562),""interview|journey|talks|wisdom""),""Expert Interview / Trading Insights"",
REGEXMATCH(LOWER(A562),""risk|loss|drawdown|psychology""),""Trading Psychology / Risk Management"",
REGEXMATCH(LOWER(A562),""comm"&amp;"odity|crude|gold|natural gas""),""Commodity Trading Education"",
TRUE,""General Trading Education""
)
"),"Platform / Groww Feature Tutorial")</f>
        <v>Platform / Groww Feature Tutorial</v>
      </c>
    </row>
    <row r="563" ht="15.75" customHeight="1">
      <c r="A563" s="1" t="s">
        <v>2818</v>
      </c>
      <c r="B563" s="3" t="s">
        <v>2819</v>
      </c>
      <c r="C563" s="1" t="s">
        <v>2820</v>
      </c>
      <c r="D563" s="1" t="s">
        <v>2821</v>
      </c>
      <c r="E563" s="4">
        <v>44570.0</v>
      </c>
      <c r="F563" s="5">
        <v>0.2923611111111111</v>
      </c>
      <c r="G563" s="1">
        <v>6218.0</v>
      </c>
      <c r="H563" s="1">
        <v>342.0</v>
      </c>
      <c r="I563" s="1">
        <v>13.0</v>
      </c>
      <c r="J563" s="3" t="s">
        <v>2822</v>
      </c>
      <c r="K563" s="6">
        <f t="shared" si="1"/>
        <v>5.709231264</v>
      </c>
      <c r="L563" s="7">
        <f t="shared" si="2"/>
        <v>421</v>
      </c>
      <c r="M563" s="8">
        <f t="shared" si="3"/>
        <v>44564</v>
      </c>
      <c r="N563" s="9" t="str">
        <f>IFERROR(__xludf.DUMMYFUNCTION("IFS(
REGEXMATCH(LOWER(A563),""option|options""),""Options Strategy Education"",
REGEXMATCH(LOWER(A563),""bank nifty|nifty|index""),""Index Options"",
REGEXMATCH(LOWER(A563),""algo|api|systematic""),""Algo Trading / API Tutorial"",
REGEXMATCH(LOWER(A563),"&amp;"""groww|mtf|margin|pledge""),""Platform / Groww Feature Tutorial"",
REGEXMATCH(LOWER(A563),""candlestick|chart|price action|trendline|rsi|indicator""),""Technical Analysis / Chart Patterns"",
REGEXMATCH(LOWER(A563),""beginner|guide|start trading""),""Begi"&amp;"nner Trading Education"",
REGEXMATCH(LOWER(A563),""interview|journey|talks|wisdom""),""Expert Interview / Trading Insights"",
REGEXMATCH(LOWER(A563),""risk|loss|drawdown|psychology""),""Trading Psychology / Risk Management"",
REGEXMATCH(LOWER(A563),""comm"&amp;"odity|crude|gold|natural gas""),""Commodity Trading Education"",
TRUE,""General Trading Education""
)
"),"Technical Analysis / Chart Patterns")</f>
        <v>Technical Analysis / Chart Patterns</v>
      </c>
    </row>
    <row r="564" ht="15.75" customHeight="1">
      <c r="A564" s="1" t="s">
        <v>2823</v>
      </c>
      <c r="B564" s="3" t="s">
        <v>2824</v>
      </c>
      <c r="C564" s="1" t="s">
        <v>2825</v>
      </c>
      <c r="D564" s="1" t="s">
        <v>2826</v>
      </c>
      <c r="E564" s="4">
        <v>44567.0</v>
      </c>
      <c r="F564" s="5">
        <v>0.44375</v>
      </c>
      <c r="G564" s="1">
        <v>8814.0</v>
      </c>
      <c r="H564" s="1">
        <v>393.0</v>
      </c>
      <c r="I564" s="1">
        <v>9.0</v>
      </c>
      <c r="J564" s="3" t="s">
        <v>2827</v>
      </c>
      <c r="K564" s="6">
        <f t="shared" si="1"/>
        <v>4.5609258</v>
      </c>
      <c r="L564" s="7">
        <f t="shared" si="2"/>
        <v>639</v>
      </c>
      <c r="M564" s="8">
        <f t="shared" si="3"/>
        <v>44564</v>
      </c>
      <c r="N564" s="9" t="str">
        <f>IFERROR(__xludf.DUMMYFUNCTION("IFS(
REGEXMATCH(LOWER(A564),""option|options""),""Options Strategy Education"",
REGEXMATCH(LOWER(A564),""bank nifty|nifty|index""),""Index Options"",
REGEXMATCH(LOWER(A564),""algo|api|systematic""),""Algo Trading / API Tutorial"",
REGEXMATCH(LOWER(A564),"&amp;"""groww|mtf|margin|pledge""),""Platform / Groww Feature Tutorial"",
REGEXMATCH(LOWER(A564),""candlestick|chart|price action|trendline|rsi|indicator""),""Technical Analysis / Chart Patterns"",
REGEXMATCH(LOWER(A564),""beginner|guide|start trading""),""Begi"&amp;"nner Trading Education"",
REGEXMATCH(LOWER(A564),""interview|journey|talks|wisdom""),""Expert Interview / Trading Insights"",
REGEXMATCH(LOWER(A564),""risk|loss|drawdown|psychology""),""Trading Psychology / Risk Management"",
REGEXMATCH(LOWER(A564),""comm"&amp;"odity|crude|gold|natural gas""),""Commodity Trading Education"",
TRUE,""General Trading Education""
)
"),"Technical Analysis / Chart Patterns")</f>
        <v>Technical Analysis / Chart Patterns</v>
      </c>
    </row>
    <row r="565" ht="15.75" customHeight="1">
      <c r="A565" s="1" t="s">
        <v>2828</v>
      </c>
      <c r="B565" s="3" t="s">
        <v>2829</v>
      </c>
      <c r="C565" s="1" t="s">
        <v>2830</v>
      </c>
      <c r="D565" s="1" t="s">
        <v>2831</v>
      </c>
      <c r="E565" s="4">
        <v>44564.0</v>
      </c>
      <c r="F565" s="5">
        <v>0.24375</v>
      </c>
      <c r="G565" s="1">
        <v>7407.0</v>
      </c>
      <c r="H565" s="1">
        <v>363.0</v>
      </c>
      <c r="I565" s="1">
        <v>12.0</v>
      </c>
      <c r="J565" s="3" t="s">
        <v>2832</v>
      </c>
      <c r="K565" s="6">
        <f t="shared" si="1"/>
        <v>5.062778453</v>
      </c>
      <c r="L565" s="7">
        <f t="shared" si="2"/>
        <v>351</v>
      </c>
      <c r="M565" s="8">
        <f t="shared" si="3"/>
        <v>44564</v>
      </c>
      <c r="N565" s="9" t="str">
        <f>IFERROR(__xludf.DUMMYFUNCTION("IFS(
REGEXMATCH(LOWER(A565),""option|options""),""Options Strategy Education"",
REGEXMATCH(LOWER(A565),""bank nifty|nifty|index""),""Index Options"",
REGEXMATCH(LOWER(A565),""algo|api|systematic""),""Algo Trading / API Tutorial"",
REGEXMATCH(LOWER(A565),"&amp;"""groww|mtf|margin|pledge""),""Platform / Groww Feature Tutorial"",
REGEXMATCH(LOWER(A565),""candlestick|chart|price action|trendline|rsi|indicator""),""Technical Analysis / Chart Patterns"",
REGEXMATCH(LOWER(A565),""beginner|guide|start trading""),""Begi"&amp;"nner Trading Education"",
REGEXMATCH(LOWER(A565),""interview|journey|talks|wisdom""),""Expert Interview / Trading Insights"",
REGEXMATCH(LOWER(A565),""risk|loss|drawdown|psychology""),""Trading Psychology / Risk Management"",
REGEXMATCH(LOWER(A565),""comm"&amp;"odity|crude|gold|natural gas""),""Commodity Trading Education"",
TRUE,""General Trading Education""
)
"),"Platform / Groww Feature Tutorial")</f>
        <v>Platform / Groww Feature Tutorial</v>
      </c>
    </row>
    <row r="566" ht="15.75" customHeight="1">
      <c r="A566" s="1" t="s">
        <v>2833</v>
      </c>
      <c r="B566" s="3" t="s">
        <v>2834</v>
      </c>
      <c r="C566" s="1" t="s">
        <v>2835</v>
      </c>
      <c r="D566" s="1" t="s">
        <v>2836</v>
      </c>
      <c r="E566" s="4">
        <v>44558.0</v>
      </c>
      <c r="F566" s="5">
        <v>0.275</v>
      </c>
      <c r="G566" s="1">
        <v>1954.0</v>
      </c>
      <c r="H566" s="1">
        <v>92.0</v>
      </c>
      <c r="I566" s="1">
        <v>7.0</v>
      </c>
      <c r="J566" s="3" t="s">
        <v>2837</v>
      </c>
      <c r="K566" s="6">
        <f t="shared" si="1"/>
        <v>5.066530194</v>
      </c>
      <c r="L566" s="7">
        <f t="shared" si="2"/>
        <v>396</v>
      </c>
      <c r="M566" s="8">
        <f t="shared" si="3"/>
        <v>44557</v>
      </c>
      <c r="N566" s="9" t="str">
        <f>IFERROR(__xludf.DUMMYFUNCTION("IFS(
REGEXMATCH(LOWER(A566),""option|options""),""Options Strategy Education"",
REGEXMATCH(LOWER(A566),""bank nifty|nifty|index""),""Index Options"",
REGEXMATCH(LOWER(A566),""algo|api|systematic""),""Algo Trading / API Tutorial"",
REGEXMATCH(LOWER(A566),"&amp;"""groww|mtf|margin|pledge""),""Platform / Groww Feature Tutorial"",
REGEXMATCH(LOWER(A566),""candlestick|chart|price action|trendline|rsi|indicator""),""Technical Analysis / Chart Patterns"",
REGEXMATCH(LOWER(A566),""beginner|guide|start trading""),""Begi"&amp;"nner Trading Education"",
REGEXMATCH(LOWER(A566),""interview|journey|talks|wisdom""),""Expert Interview / Trading Insights"",
REGEXMATCH(LOWER(A566),""risk|loss|drawdown|psychology""),""Trading Psychology / Risk Management"",
REGEXMATCH(LOWER(A566),""comm"&amp;"odity|crude|gold|natural gas""),""Commodity Trading Education"",
TRUE,""General Trading Education""
)
"),"Beginner Trading Education")</f>
        <v>Beginner Trading Education</v>
      </c>
    </row>
    <row r="567" ht="15.75" customHeight="1">
      <c r="A567" s="1" t="s">
        <v>2838</v>
      </c>
      <c r="B567" s="3" t="s">
        <v>2839</v>
      </c>
      <c r="C567" s="1" t="s">
        <v>2840</v>
      </c>
      <c r="D567" s="1" t="s">
        <v>2841</v>
      </c>
      <c r="E567" s="4">
        <v>44553.0</v>
      </c>
      <c r="F567" s="5">
        <v>0.28055555555555556</v>
      </c>
      <c r="G567" s="1">
        <v>7855.0</v>
      </c>
      <c r="H567" s="1">
        <v>262.0</v>
      </c>
      <c r="I567" s="1">
        <v>10.0</v>
      </c>
      <c r="J567" s="3" t="s">
        <v>2842</v>
      </c>
      <c r="K567" s="6">
        <f t="shared" si="1"/>
        <v>3.462762572</v>
      </c>
      <c r="L567" s="7">
        <f t="shared" si="2"/>
        <v>404</v>
      </c>
      <c r="M567" s="8">
        <f t="shared" si="3"/>
        <v>44550</v>
      </c>
      <c r="N567" s="9" t="str">
        <f>IFERROR(__xludf.DUMMYFUNCTION("IFS(
REGEXMATCH(LOWER(A567),""option|options""),""Options Strategy Education"",
REGEXMATCH(LOWER(A567),""bank nifty|nifty|index""),""Index Options"",
REGEXMATCH(LOWER(A567),""algo|api|systematic""),""Algo Trading / API Tutorial"",
REGEXMATCH(LOWER(A567),"&amp;"""groww|mtf|margin|pledge""),""Platform / Groww Feature Tutorial"",
REGEXMATCH(LOWER(A567),""candlestick|chart|price action|trendline|rsi|indicator""),""Technical Analysis / Chart Patterns"",
REGEXMATCH(LOWER(A567),""beginner|guide|start trading""),""Begi"&amp;"nner Trading Education"",
REGEXMATCH(LOWER(A567),""interview|journey|talks|wisdom""),""Expert Interview / Trading Insights"",
REGEXMATCH(LOWER(A567),""risk|loss|drawdown|psychology""),""Trading Psychology / Risk Management"",
REGEXMATCH(LOWER(A567),""comm"&amp;"odity|crude|gold|natural gas""),""Commodity Trading Education"",
TRUE,""General Trading Education""
)
"),"Platform / Groww Feature Tutorial")</f>
        <v>Platform / Groww Feature Tutorial</v>
      </c>
    </row>
    <row r="568" ht="15.75" customHeight="1">
      <c r="A568" s="1" t="s">
        <v>2843</v>
      </c>
      <c r="B568" s="3" t="s">
        <v>2844</v>
      </c>
      <c r="C568" s="1" t="s">
        <v>2845</v>
      </c>
      <c r="D568" s="1" t="s">
        <v>2846</v>
      </c>
      <c r="E568" s="4">
        <v>44551.0</v>
      </c>
      <c r="F568" s="5">
        <v>0.46944444444444444</v>
      </c>
      <c r="G568" s="1">
        <v>8525.0</v>
      </c>
      <c r="H568" s="1">
        <v>358.0</v>
      </c>
      <c r="I568" s="1">
        <v>15.0</v>
      </c>
      <c r="J568" s="3" t="s">
        <v>2847</v>
      </c>
      <c r="K568" s="6">
        <f t="shared" si="1"/>
        <v>4.375366569</v>
      </c>
      <c r="L568" s="7">
        <f t="shared" si="2"/>
        <v>676</v>
      </c>
      <c r="M568" s="8">
        <f t="shared" si="3"/>
        <v>44550</v>
      </c>
      <c r="N568" s="9" t="str">
        <f>IFERROR(__xludf.DUMMYFUNCTION("IFS(
REGEXMATCH(LOWER(A568),""option|options""),""Options Strategy Education"",
REGEXMATCH(LOWER(A568),""bank nifty|nifty|index""),""Index Options"",
REGEXMATCH(LOWER(A568),""algo|api|systematic""),""Algo Trading / API Tutorial"",
REGEXMATCH(LOWER(A568),"&amp;"""groww|mtf|margin|pledge""),""Platform / Groww Feature Tutorial"",
REGEXMATCH(LOWER(A568),""candlestick|chart|price action|trendline|rsi|indicator""),""Technical Analysis / Chart Patterns"",
REGEXMATCH(LOWER(A568),""beginner|guide|start trading""),""Begi"&amp;"nner Trading Education"",
REGEXMATCH(LOWER(A568),""interview|journey|talks|wisdom""),""Expert Interview / Trading Insights"",
REGEXMATCH(LOWER(A568),""risk|loss|drawdown|psychology""),""Trading Psychology / Risk Management"",
REGEXMATCH(LOWER(A568),""comm"&amp;"odity|crude|gold|natural gas""),""Commodity Trading Education"",
TRUE,""General Trading Education""
)
"),"Options Strategy Education")</f>
        <v>Options Strategy Education</v>
      </c>
    </row>
    <row r="569" ht="15.75" customHeight="1">
      <c r="A569" s="1" t="s">
        <v>2848</v>
      </c>
      <c r="B569" s="3" t="s">
        <v>2849</v>
      </c>
      <c r="C569" s="1" t="s">
        <v>2850</v>
      </c>
      <c r="D569" s="1" t="s">
        <v>2851</v>
      </c>
      <c r="E569" s="4">
        <v>44549.0</v>
      </c>
      <c r="F569" s="5">
        <v>0.33958333333333335</v>
      </c>
      <c r="G569" s="1">
        <v>2405.0</v>
      </c>
      <c r="H569" s="1">
        <v>118.0</v>
      </c>
      <c r="I569" s="1">
        <v>19.0</v>
      </c>
      <c r="J569" s="3" t="s">
        <v>2852</v>
      </c>
      <c r="K569" s="6">
        <f t="shared" si="1"/>
        <v>5.696465696</v>
      </c>
      <c r="L569" s="7">
        <f t="shared" si="2"/>
        <v>489</v>
      </c>
      <c r="M569" s="8">
        <f t="shared" si="3"/>
        <v>44543</v>
      </c>
      <c r="N569" s="9" t="str">
        <f>IFERROR(__xludf.DUMMYFUNCTION("IFS(
REGEXMATCH(LOWER(A569),""option|options""),""Options Strategy Education"",
REGEXMATCH(LOWER(A569),""bank nifty|nifty|index""),""Index Options"",
REGEXMATCH(LOWER(A569),""algo|api|systematic""),""Algo Trading / API Tutorial"",
REGEXMATCH(LOWER(A569),"&amp;"""groww|mtf|margin|pledge""),""Platform / Groww Feature Tutorial"",
REGEXMATCH(LOWER(A569),""candlestick|chart|price action|trendline|rsi|indicator""),""Technical Analysis / Chart Patterns"",
REGEXMATCH(LOWER(A569),""beginner|guide|start trading""),""Begi"&amp;"nner Trading Education"",
REGEXMATCH(LOWER(A569),""interview|journey|talks|wisdom""),""Expert Interview / Trading Insights"",
REGEXMATCH(LOWER(A569),""risk|loss|drawdown|psychology""),""Trading Psychology / Risk Management"",
REGEXMATCH(LOWER(A569),""comm"&amp;"odity|crude|gold|natural gas""),""Commodity Trading Education"",
TRUE,""General Trading Education""
)
"),"Technical Analysis / Chart Patterns")</f>
        <v>Technical Analysis / Chart Patterns</v>
      </c>
    </row>
    <row r="570" ht="15.75" customHeight="1">
      <c r="A570" s="1" t="s">
        <v>2853</v>
      </c>
      <c r="B570" s="3" t="s">
        <v>2854</v>
      </c>
      <c r="C570" s="1" t="s">
        <v>2855</v>
      </c>
      <c r="D570" s="1" t="s">
        <v>2856</v>
      </c>
      <c r="E570" s="4">
        <v>44546.0</v>
      </c>
      <c r="F570" s="5">
        <v>0.30625</v>
      </c>
      <c r="G570" s="1">
        <v>2580.0</v>
      </c>
      <c r="H570" s="1">
        <v>143.0</v>
      </c>
      <c r="I570" s="1">
        <v>26.0</v>
      </c>
      <c r="J570" s="3" t="s">
        <v>2857</v>
      </c>
      <c r="K570" s="6">
        <f t="shared" si="1"/>
        <v>6.550387597</v>
      </c>
      <c r="L570" s="7">
        <f t="shared" si="2"/>
        <v>441</v>
      </c>
      <c r="M570" s="8">
        <f t="shared" si="3"/>
        <v>44543</v>
      </c>
      <c r="N570" s="9" t="str">
        <f>IFERROR(__xludf.DUMMYFUNCTION("IFS(
REGEXMATCH(LOWER(A570),""option|options""),""Options Strategy Education"",
REGEXMATCH(LOWER(A570),""bank nifty|nifty|index""),""Index Options"",
REGEXMATCH(LOWER(A570),""algo|api|systematic""),""Algo Trading / API Tutorial"",
REGEXMATCH(LOWER(A570),"&amp;"""groww|mtf|margin|pledge""),""Platform / Groww Feature Tutorial"",
REGEXMATCH(LOWER(A570),""candlestick|chart|price action|trendline|rsi|indicator""),""Technical Analysis / Chart Patterns"",
REGEXMATCH(LOWER(A570),""beginner|guide|start trading""),""Begi"&amp;"nner Trading Education"",
REGEXMATCH(LOWER(A570),""interview|journey|talks|wisdom""),""Expert Interview / Trading Insights"",
REGEXMATCH(LOWER(A570),""risk|loss|drawdown|psychology""),""Trading Psychology / Risk Management"",
REGEXMATCH(LOWER(A570),""comm"&amp;"odity|crude|gold|natural gas""),""Commodity Trading Education"",
TRUE,""General Trading Education""
)
"),"Technical Analysis / Chart Patterns")</f>
        <v>Technical Analysis / Chart Patterns</v>
      </c>
    </row>
    <row r="571" ht="15.75" customHeight="1">
      <c r="A571" s="1" t="s">
        <v>2858</v>
      </c>
      <c r="B571" s="3" t="s">
        <v>2859</v>
      </c>
      <c r="C571" s="1" t="s">
        <v>2860</v>
      </c>
      <c r="D571" s="1" t="s">
        <v>2861</v>
      </c>
      <c r="E571" s="4">
        <v>44540.0</v>
      </c>
      <c r="F571" s="5">
        <v>0.4048611111111111</v>
      </c>
      <c r="G571" s="1">
        <v>12252.0</v>
      </c>
      <c r="H571" s="1">
        <v>446.0</v>
      </c>
      <c r="I571" s="1">
        <v>15.0</v>
      </c>
      <c r="J571" s="3" t="s">
        <v>2862</v>
      </c>
      <c r="K571" s="6">
        <f t="shared" si="1"/>
        <v>3.762650996</v>
      </c>
      <c r="L571" s="7">
        <f t="shared" si="2"/>
        <v>583</v>
      </c>
      <c r="M571" s="8">
        <f t="shared" si="3"/>
        <v>44536</v>
      </c>
      <c r="N571" s="9" t="str">
        <f>IFERROR(__xludf.DUMMYFUNCTION("IFS(
REGEXMATCH(LOWER(A571),""option|options""),""Options Strategy Education"",
REGEXMATCH(LOWER(A571),""bank nifty|nifty|index""),""Index Options"",
REGEXMATCH(LOWER(A571),""algo|api|systematic""),""Algo Trading / API Tutorial"",
REGEXMATCH(LOWER(A571),"&amp;"""groww|mtf|margin|pledge""),""Platform / Groww Feature Tutorial"",
REGEXMATCH(LOWER(A571),""candlestick|chart|price action|trendline|rsi|indicator""),""Technical Analysis / Chart Patterns"",
REGEXMATCH(LOWER(A571),""beginner|guide|start trading""),""Begi"&amp;"nner Trading Education"",
REGEXMATCH(LOWER(A571),""interview|journey|talks|wisdom""),""Expert Interview / Trading Insights"",
REGEXMATCH(LOWER(A571),""risk|loss|drawdown|psychology""),""Trading Psychology / Risk Management"",
REGEXMATCH(LOWER(A571),""comm"&amp;"odity|crude|gold|natural gas""),""Commodity Trading Education"",
TRUE,""General Trading Education""
)
"),"Options Strategy Education")</f>
        <v>Options Strategy Education</v>
      </c>
    </row>
    <row r="572" ht="15.75" customHeight="1">
      <c r="A572" s="1" t="s">
        <v>2863</v>
      </c>
      <c r="B572" s="3" t="s">
        <v>2864</v>
      </c>
      <c r="C572" s="1" t="s">
        <v>2865</v>
      </c>
      <c r="D572" s="1" t="s">
        <v>2866</v>
      </c>
      <c r="E572" s="4">
        <v>44533.0</v>
      </c>
      <c r="F572" s="5">
        <v>0.41041666666666665</v>
      </c>
      <c r="G572" s="1">
        <v>4627.0</v>
      </c>
      <c r="H572" s="1">
        <v>202.0</v>
      </c>
      <c r="I572" s="1">
        <v>41.0</v>
      </c>
      <c r="J572" s="3" t="s">
        <v>2867</v>
      </c>
      <c r="K572" s="6">
        <f t="shared" si="1"/>
        <v>5.251783013</v>
      </c>
      <c r="L572" s="7">
        <f t="shared" si="2"/>
        <v>591</v>
      </c>
      <c r="M572" s="8">
        <f t="shared" si="3"/>
        <v>44529</v>
      </c>
      <c r="N572" s="9" t="str">
        <f>IFERROR(__xludf.DUMMYFUNCTION("IFS(
REGEXMATCH(LOWER(A572),""option|options""),""Options Strategy Education"",
REGEXMATCH(LOWER(A572),""bank nifty|nifty|index""),""Index Options"",
REGEXMATCH(LOWER(A572),""algo|api|systematic""),""Algo Trading / API Tutorial"",
REGEXMATCH(LOWER(A572),"&amp;"""groww|mtf|margin|pledge""),""Platform / Groww Feature Tutorial"",
REGEXMATCH(LOWER(A572),""candlestick|chart|price action|trendline|rsi|indicator""),""Technical Analysis / Chart Patterns"",
REGEXMATCH(LOWER(A572),""beginner|guide|start trading""),""Begi"&amp;"nner Trading Education"",
REGEXMATCH(LOWER(A572),""interview|journey|talks|wisdom""),""Expert Interview / Trading Insights"",
REGEXMATCH(LOWER(A572),""risk|loss|drawdown|psychology""),""Trading Psychology / Risk Management"",
REGEXMATCH(LOWER(A572),""comm"&amp;"odity|crude|gold|natural gas""),""Commodity Trading Education"",
TRUE,""General Trading Education""
)
"),"Platform / Groww Feature Tutorial")</f>
        <v>Platform / Groww Feature Tutorial</v>
      </c>
    </row>
    <row r="573" ht="15.75" customHeight="1">
      <c r="A573" s="1" t="s">
        <v>2868</v>
      </c>
      <c r="B573" s="3" t="s">
        <v>2869</v>
      </c>
      <c r="C573" s="1" t="s">
        <v>2870</v>
      </c>
      <c r="D573" s="1" t="s">
        <v>2871</v>
      </c>
      <c r="E573" s="4">
        <v>44531.0</v>
      </c>
      <c r="F573" s="5">
        <v>0.4027777777777778</v>
      </c>
      <c r="G573" s="1">
        <v>5223.0</v>
      </c>
      <c r="H573" s="1">
        <v>252.0</v>
      </c>
      <c r="I573" s="1">
        <v>45.0</v>
      </c>
      <c r="J573" s="3" t="s">
        <v>2872</v>
      </c>
      <c r="K573" s="6">
        <f t="shared" si="1"/>
        <v>5.686387134</v>
      </c>
      <c r="L573" s="7">
        <f t="shared" si="2"/>
        <v>580</v>
      </c>
      <c r="M573" s="8">
        <f t="shared" si="3"/>
        <v>44529</v>
      </c>
      <c r="N573" s="9" t="str">
        <f>IFERROR(__xludf.DUMMYFUNCTION("IFS(
REGEXMATCH(LOWER(A573),""option|options""),""Options Strategy Education"",
REGEXMATCH(LOWER(A573),""bank nifty|nifty|index""),""Index Options"",
REGEXMATCH(LOWER(A573),""algo|api|systematic""),""Algo Trading / API Tutorial"",
REGEXMATCH(LOWER(A573),"&amp;"""groww|mtf|margin|pledge""),""Platform / Groww Feature Tutorial"",
REGEXMATCH(LOWER(A573),""candlestick|chart|price action|trendline|rsi|indicator""),""Technical Analysis / Chart Patterns"",
REGEXMATCH(LOWER(A573),""beginner|guide|start trading""),""Begi"&amp;"nner Trading Education"",
REGEXMATCH(LOWER(A573),""interview|journey|talks|wisdom""),""Expert Interview / Trading Insights"",
REGEXMATCH(LOWER(A573),""risk|loss|drawdown|psychology""),""Trading Psychology / Risk Management"",
REGEXMATCH(LOWER(A573),""comm"&amp;"odity|crude|gold|natural gas""),""Commodity Trading Education"",
TRUE,""General Trading Education""
)
"),"Platform / Groww Feature Tutorial")</f>
        <v>Platform / Groww Feature Tutorial</v>
      </c>
    </row>
    <row r="574" ht="15.75" customHeight="1">
      <c r="A574" s="1" t="s">
        <v>2873</v>
      </c>
      <c r="B574" s="3" t="s">
        <v>2874</v>
      </c>
      <c r="C574" s="1" t="s">
        <v>2875</v>
      </c>
      <c r="D574" s="1" t="s">
        <v>2876</v>
      </c>
      <c r="E574" s="4">
        <v>44521.0</v>
      </c>
      <c r="F574" s="5">
        <v>0.46805555555555556</v>
      </c>
      <c r="G574" s="1">
        <v>38046.0</v>
      </c>
      <c r="H574" s="1">
        <v>1521.0</v>
      </c>
      <c r="I574" s="1">
        <v>38.0</v>
      </c>
      <c r="J574" s="3" t="s">
        <v>2877</v>
      </c>
      <c r="K574" s="6">
        <f t="shared" si="1"/>
        <v>4.09767124</v>
      </c>
      <c r="L574" s="7">
        <f t="shared" si="2"/>
        <v>674</v>
      </c>
      <c r="M574" s="8">
        <f t="shared" si="3"/>
        <v>44515</v>
      </c>
      <c r="N574" s="9" t="str">
        <f>IFERROR(__xludf.DUMMYFUNCTION("IFS(
REGEXMATCH(LOWER(A574),""option|options""),""Options Strategy Education"",
REGEXMATCH(LOWER(A574),""bank nifty|nifty|index""),""Index Options"",
REGEXMATCH(LOWER(A574),""algo|api|systematic""),""Algo Trading / API Tutorial"",
REGEXMATCH(LOWER(A574),"&amp;"""groww|mtf|margin|pledge""),""Platform / Groww Feature Tutorial"",
REGEXMATCH(LOWER(A574),""candlestick|chart|price action|trendline|rsi|indicator""),""Technical Analysis / Chart Patterns"",
REGEXMATCH(LOWER(A574),""beginner|guide|start trading""),""Begi"&amp;"nner Trading Education"",
REGEXMATCH(LOWER(A574),""interview|journey|talks|wisdom""),""Expert Interview / Trading Insights"",
REGEXMATCH(LOWER(A574),""risk|loss|drawdown|psychology""),""Trading Psychology / Risk Management"",
REGEXMATCH(LOWER(A574),""comm"&amp;"odity|crude|gold|natural gas""),""Commodity Trading Education"",
TRUE,""General Trading Education""
)
"),"Technical Analysis / Chart Patterns")</f>
        <v>Technical Analysis / Chart Patterns</v>
      </c>
    </row>
    <row r="575" ht="15.75" customHeight="1">
      <c r="A575" s="1" t="s">
        <v>2878</v>
      </c>
      <c r="B575" s="3" t="s">
        <v>2879</v>
      </c>
      <c r="C575" s="1" t="s">
        <v>2880</v>
      </c>
      <c r="D575" s="1" t="s">
        <v>2881</v>
      </c>
      <c r="E575" s="4">
        <v>44520.0</v>
      </c>
      <c r="F575" s="5">
        <v>0.17847222222222223</v>
      </c>
      <c r="G575" s="1">
        <v>29492.0</v>
      </c>
      <c r="H575" s="1">
        <v>878.0</v>
      </c>
      <c r="I575" s="1">
        <v>23.0</v>
      </c>
      <c r="J575" s="3" t="s">
        <v>2882</v>
      </c>
      <c r="K575" s="6">
        <f t="shared" si="1"/>
        <v>3.055065781</v>
      </c>
      <c r="L575" s="7">
        <f t="shared" si="2"/>
        <v>257</v>
      </c>
      <c r="M575" s="8">
        <f t="shared" si="3"/>
        <v>44515</v>
      </c>
      <c r="N575" s="9" t="str">
        <f>IFERROR(__xludf.DUMMYFUNCTION("IFS(
REGEXMATCH(LOWER(A575),""option|options""),""Options Strategy Education"",
REGEXMATCH(LOWER(A575),""bank nifty|nifty|index""),""Index Options"",
REGEXMATCH(LOWER(A575),""algo|api|systematic""),""Algo Trading / API Tutorial"",
REGEXMATCH(LOWER(A575),"&amp;"""groww|mtf|margin|pledge""),""Platform / Groww Feature Tutorial"",
REGEXMATCH(LOWER(A575),""candlestick|chart|price action|trendline|rsi|indicator""),""Technical Analysis / Chart Patterns"",
REGEXMATCH(LOWER(A575),""beginner|guide|start trading""),""Begi"&amp;"nner Trading Education"",
REGEXMATCH(LOWER(A575),""interview|journey|talks|wisdom""),""Expert Interview / Trading Insights"",
REGEXMATCH(LOWER(A575),""risk|loss|drawdown|psychology""),""Trading Psychology / Risk Management"",
REGEXMATCH(LOWER(A575),""comm"&amp;"odity|crude|gold|natural gas""),""Commodity Trading Education"",
TRUE,""General Trading Education""
)
"),"Options Strategy Education")</f>
        <v>Options Strategy Education</v>
      </c>
    </row>
    <row r="576" ht="15.75" customHeight="1">
      <c r="A576" s="1" t="s">
        <v>2883</v>
      </c>
      <c r="B576" s="3" t="s">
        <v>2884</v>
      </c>
      <c r="C576" s="1" t="s">
        <v>2885</v>
      </c>
      <c r="D576" s="1" t="s">
        <v>2886</v>
      </c>
      <c r="E576" s="4">
        <v>44511.0</v>
      </c>
      <c r="F576" s="5">
        <v>0.35</v>
      </c>
      <c r="G576" s="1">
        <v>38817.0</v>
      </c>
      <c r="H576" s="1">
        <v>822.0</v>
      </c>
      <c r="I576" s="1">
        <v>36.0</v>
      </c>
      <c r="J576" s="3" t="s">
        <v>2887</v>
      </c>
      <c r="K576" s="6">
        <f t="shared" si="1"/>
        <v>2.210371744</v>
      </c>
      <c r="L576" s="7">
        <f t="shared" si="2"/>
        <v>504</v>
      </c>
      <c r="M576" s="8">
        <f t="shared" si="3"/>
        <v>44508</v>
      </c>
      <c r="N576" s="9" t="str">
        <f>IFERROR(__xludf.DUMMYFUNCTION("IFS(
REGEXMATCH(LOWER(A576),""option|options""),""Options Strategy Education"",
REGEXMATCH(LOWER(A576),""bank nifty|nifty|index""),""Index Options"",
REGEXMATCH(LOWER(A576),""algo|api|systematic""),""Algo Trading / API Tutorial"",
REGEXMATCH(LOWER(A576),"&amp;"""groww|mtf|margin|pledge""),""Platform / Groww Feature Tutorial"",
REGEXMATCH(LOWER(A576),""candlestick|chart|price action|trendline|rsi|indicator""),""Technical Analysis / Chart Patterns"",
REGEXMATCH(LOWER(A576),""beginner|guide|start trading""),""Begi"&amp;"nner Trading Education"",
REGEXMATCH(LOWER(A576),""interview|journey|talks|wisdom""),""Expert Interview / Trading Insights"",
REGEXMATCH(LOWER(A576),""risk|loss|drawdown|psychology""),""Trading Psychology / Risk Management"",
REGEXMATCH(LOWER(A576),""comm"&amp;"odity|crude|gold|natural gas""),""Commodity Trading Education"",
TRUE,""General Trading Education""
)
"),"Platform / Groww Feature Tutorial")</f>
        <v>Platform / Groww Feature Tutorial</v>
      </c>
    </row>
    <row r="577" ht="15.75" customHeight="1">
      <c r="A577" s="1" t="s">
        <v>2888</v>
      </c>
      <c r="B577" s="3" t="s">
        <v>2889</v>
      </c>
      <c r="C577" s="1" t="s">
        <v>2890</v>
      </c>
      <c r="D577" s="1" t="s">
        <v>2891</v>
      </c>
      <c r="E577" s="4">
        <v>44508.0</v>
      </c>
      <c r="F577" s="5">
        <v>0.4618055555555556</v>
      </c>
      <c r="G577" s="1">
        <v>10062.0</v>
      </c>
      <c r="H577" s="1">
        <v>419.0</v>
      </c>
      <c r="I577" s="1">
        <v>16.0</v>
      </c>
      <c r="J577" s="3" t="s">
        <v>2892</v>
      </c>
      <c r="K577" s="6">
        <f t="shared" si="1"/>
        <v>4.323196184</v>
      </c>
      <c r="L577" s="7">
        <f t="shared" si="2"/>
        <v>665</v>
      </c>
      <c r="M577" s="8">
        <f t="shared" si="3"/>
        <v>44508</v>
      </c>
      <c r="N577" s="9" t="str">
        <f>IFERROR(__xludf.DUMMYFUNCTION("IFS(
REGEXMATCH(LOWER(A577),""option|options""),""Options Strategy Education"",
REGEXMATCH(LOWER(A577),""bank nifty|nifty|index""),""Index Options"",
REGEXMATCH(LOWER(A577),""algo|api|systematic""),""Algo Trading / API Tutorial"",
REGEXMATCH(LOWER(A577),"&amp;"""groww|mtf|margin|pledge""),""Platform / Groww Feature Tutorial"",
REGEXMATCH(LOWER(A577),""candlestick|chart|price action|trendline|rsi|indicator""),""Technical Analysis / Chart Patterns"",
REGEXMATCH(LOWER(A577),""beginner|guide|start trading""),""Begi"&amp;"nner Trading Education"",
REGEXMATCH(LOWER(A577),""interview|journey|talks|wisdom""),""Expert Interview / Trading Insights"",
REGEXMATCH(LOWER(A577),""risk|loss|drawdown|psychology""),""Trading Psychology / Risk Management"",
REGEXMATCH(LOWER(A577),""comm"&amp;"odity|crude|gold|natural gas""),""Commodity Trading Education"",
TRUE,""General Trading Education""
)
"),"Beginner Trading Education")</f>
        <v>Beginner Trading Education</v>
      </c>
    </row>
    <row r="578" ht="15.75" customHeight="1">
      <c r="A578" s="1" t="s">
        <v>2893</v>
      </c>
      <c r="B578" s="3" t="s">
        <v>2894</v>
      </c>
      <c r="C578" s="1" t="s">
        <v>2895</v>
      </c>
      <c r="D578" s="1" t="s">
        <v>2896</v>
      </c>
      <c r="E578" s="4">
        <v>44500.0</v>
      </c>
      <c r="F578" s="5">
        <v>0.4131944444444444</v>
      </c>
      <c r="G578" s="1">
        <v>43518.0</v>
      </c>
      <c r="H578" s="1">
        <v>1373.0</v>
      </c>
      <c r="I578" s="1">
        <v>32.0</v>
      </c>
      <c r="J578" s="3" t="s">
        <v>2897</v>
      </c>
      <c r="K578" s="6">
        <f t="shared" si="1"/>
        <v>3.228549106</v>
      </c>
      <c r="L578" s="7">
        <f t="shared" si="2"/>
        <v>595</v>
      </c>
      <c r="M578" s="8">
        <f t="shared" si="3"/>
        <v>44494</v>
      </c>
      <c r="N578" s="9" t="str">
        <f>IFERROR(__xludf.DUMMYFUNCTION("IFS(
REGEXMATCH(LOWER(A578),""option|options""),""Options Strategy Education"",
REGEXMATCH(LOWER(A578),""bank nifty|nifty|index""),""Index Options"",
REGEXMATCH(LOWER(A578),""algo|api|systematic""),""Algo Trading / API Tutorial"",
REGEXMATCH(LOWER(A578),"&amp;"""groww|mtf|margin|pledge""),""Platform / Groww Feature Tutorial"",
REGEXMATCH(LOWER(A578),""candlestick|chart|price action|trendline|rsi|indicator""),""Technical Analysis / Chart Patterns"",
REGEXMATCH(LOWER(A578),""beginner|guide|start trading""),""Begi"&amp;"nner Trading Education"",
REGEXMATCH(LOWER(A578),""interview|journey|talks|wisdom""),""Expert Interview / Trading Insights"",
REGEXMATCH(LOWER(A578),""risk|loss|drawdown|psychology""),""Trading Psychology / Risk Management"",
REGEXMATCH(LOWER(A578),""comm"&amp;"odity|crude|gold|natural gas""),""Commodity Trading Education"",
TRUE,""General Trading Education""
)
"),"Technical Analysis / Chart Patterns")</f>
        <v>Technical Analysis / Chart Patterns</v>
      </c>
    </row>
    <row r="579" ht="15.75" customHeight="1">
      <c r="A579" s="1" t="s">
        <v>2898</v>
      </c>
      <c r="B579" s="3" t="s">
        <v>2899</v>
      </c>
      <c r="C579" s="1" t="s">
        <v>2900</v>
      </c>
      <c r="D579" s="1" t="s">
        <v>2901</v>
      </c>
      <c r="E579" s="4">
        <v>44493.0</v>
      </c>
      <c r="F579" s="5">
        <v>0.4875</v>
      </c>
      <c r="G579" s="1">
        <v>15692.0</v>
      </c>
      <c r="H579" s="1">
        <v>586.0</v>
      </c>
      <c r="I579" s="1">
        <v>18.0</v>
      </c>
      <c r="J579" s="3" t="s">
        <v>2902</v>
      </c>
      <c r="K579" s="6">
        <f t="shared" si="1"/>
        <v>3.84909508</v>
      </c>
      <c r="L579" s="7">
        <f t="shared" si="2"/>
        <v>702</v>
      </c>
      <c r="M579" s="8">
        <f t="shared" si="3"/>
        <v>44487</v>
      </c>
      <c r="N579" s="9" t="str">
        <f>IFERROR(__xludf.DUMMYFUNCTION("IFS(
REGEXMATCH(LOWER(A579),""option|options""),""Options Strategy Education"",
REGEXMATCH(LOWER(A579),""bank nifty|nifty|index""),""Index Options"",
REGEXMATCH(LOWER(A579),""algo|api|systematic""),""Algo Trading / API Tutorial"",
REGEXMATCH(LOWER(A579),"&amp;"""groww|mtf|margin|pledge""),""Platform / Groww Feature Tutorial"",
REGEXMATCH(LOWER(A579),""candlestick|chart|price action|trendline|rsi|indicator""),""Technical Analysis / Chart Patterns"",
REGEXMATCH(LOWER(A579),""beginner|guide|start trading""),""Begi"&amp;"nner Trading Education"",
REGEXMATCH(LOWER(A579),""interview|journey|talks|wisdom""),""Expert Interview / Trading Insights"",
REGEXMATCH(LOWER(A579),""risk|loss|drawdown|psychology""),""Trading Psychology / Risk Management"",
REGEXMATCH(LOWER(A579),""comm"&amp;"odity|crude|gold|natural gas""),""Commodity Trading Education"",
TRUE,""General Trading Education""
)
"),"Platform / Groww Feature Tutorial")</f>
        <v>Platform / Groww Feature Tutorial</v>
      </c>
    </row>
    <row r="580" ht="15.75" customHeight="1">
      <c r="A580" s="1" t="s">
        <v>2903</v>
      </c>
      <c r="B580" s="3" t="s">
        <v>2904</v>
      </c>
      <c r="C580" s="1" t="s">
        <v>2905</v>
      </c>
      <c r="D580" s="1" t="s">
        <v>2906</v>
      </c>
      <c r="E580" s="4">
        <v>44491.0</v>
      </c>
      <c r="F580" s="5">
        <v>0.4083333333333333</v>
      </c>
      <c r="G580" s="1">
        <v>50825.0</v>
      </c>
      <c r="H580" s="1">
        <v>1795.0</v>
      </c>
      <c r="I580" s="1">
        <v>29.0</v>
      </c>
      <c r="J580" s="3" t="s">
        <v>2907</v>
      </c>
      <c r="K580" s="6">
        <f t="shared" si="1"/>
        <v>3.588785047</v>
      </c>
      <c r="L580" s="7">
        <f t="shared" si="2"/>
        <v>588</v>
      </c>
      <c r="M580" s="8">
        <f t="shared" si="3"/>
        <v>44487</v>
      </c>
      <c r="N580" s="9" t="str">
        <f>IFERROR(__xludf.DUMMYFUNCTION("IFS(
REGEXMATCH(LOWER(A580),""option|options""),""Options Strategy Education"",
REGEXMATCH(LOWER(A580),""bank nifty|nifty|index""),""Index Options"",
REGEXMATCH(LOWER(A580),""algo|api|systematic""),""Algo Trading / API Tutorial"",
REGEXMATCH(LOWER(A580),"&amp;"""groww|mtf|margin|pledge""),""Platform / Groww Feature Tutorial"",
REGEXMATCH(LOWER(A580),""candlestick|chart|price action|trendline|rsi|indicator""),""Technical Analysis / Chart Patterns"",
REGEXMATCH(LOWER(A580),""beginner|guide|start trading""),""Begi"&amp;"nner Trading Education"",
REGEXMATCH(LOWER(A580),""interview|journey|talks|wisdom""),""Expert Interview / Trading Insights"",
REGEXMATCH(LOWER(A580),""risk|loss|drawdown|psychology""),""Trading Psychology / Risk Management"",
REGEXMATCH(LOWER(A580),""comm"&amp;"odity|crude|gold|natural gas""),""Commodity Trading Education"",
TRUE,""General Trading Education""
)
"),"Beginner Trading Education")</f>
        <v>Beginner Trading Education</v>
      </c>
    </row>
    <row r="581" ht="15.75" customHeight="1">
      <c r="A581" s="1" t="s">
        <v>2908</v>
      </c>
      <c r="B581" s="3" t="s">
        <v>2909</v>
      </c>
      <c r="C581" s="1" t="s">
        <v>2910</v>
      </c>
      <c r="D581" s="1" t="s">
        <v>2911</v>
      </c>
      <c r="E581" s="4">
        <v>44486.0</v>
      </c>
      <c r="F581" s="5">
        <v>0.4888888888888889</v>
      </c>
      <c r="G581" s="1">
        <v>60245.0</v>
      </c>
      <c r="H581" s="1">
        <v>1856.0</v>
      </c>
      <c r="I581" s="1">
        <v>36.0</v>
      </c>
      <c r="J581" s="3" t="s">
        <v>2912</v>
      </c>
      <c r="K581" s="6">
        <f t="shared" si="1"/>
        <v>3.140509586</v>
      </c>
      <c r="L581" s="7">
        <f t="shared" si="2"/>
        <v>704</v>
      </c>
      <c r="M581" s="8">
        <f t="shared" si="3"/>
        <v>44480</v>
      </c>
      <c r="N581" s="9" t="str">
        <f>IFERROR(__xludf.DUMMYFUNCTION("IFS(
REGEXMATCH(LOWER(A581),""option|options""),""Options Strategy Education"",
REGEXMATCH(LOWER(A581),""bank nifty|nifty|index""),""Index Options"",
REGEXMATCH(LOWER(A581),""algo|api|systematic""),""Algo Trading / API Tutorial"",
REGEXMATCH(LOWER(A581),"&amp;"""groww|mtf|margin|pledge""),""Platform / Groww Feature Tutorial"",
REGEXMATCH(LOWER(A581),""candlestick|chart|price action|trendline|rsi|indicator""),""Technical Analysis / Chart Patterns"",
REGEXMATCH(LOWER(A581),""beginner|guide|start trading""),""Begi"&amp;"nner Trading Education"",
REGEXMATCH(LOWER(A581),""interview|journey|talks|wisdom""),""Expert Interview / Trading Insights"",
REGEXMATCH(LOWER(A581),""risk|loss|drawdown|psychology""),""Trading Psychology / Risk Management"",
REGEXMATCH(LOWER(A581),""comm"&amp;"odity|crude|gold|natural gas""),""Commodity Trading Education"",
TRUE,""General Trading Education""
)
"),"Platform / Groww Feature Tutorial")</f>
        <v>Platform / Groww Feature Tutorial</v>
      </c>
    </row>
    <row r="582" ht="15.75" customHeight="1">
      <c r="A582" s="1" t="s">
        <v>2913</v>
      </c>
      <c r="B582" s="3" t="s">
        <v>2914</v>
      </c>
      <c r="C582" s="1" t="s">
        <v>2915</v>
      </c>
      <c r="D582" s="1" t="s">
        <v>2916</v>
      </c>
      <c r="E582" s="4">
        <v>44484.0</v>
      </c>
      <c r="F582" s="5">
        <v>0.3173611111111111</v>
      </c>
      <c r="G582" s="1">
        <v>20106.0</v>
      </c>
      <c r="H582" s="1">
        <v>826.0</v>
      </c>
      <c r="I582" s="1">
        <v>28.0</v>
      </c>
      <c r="J582" s="3" t="s">
        <v>2917</v>
      </c>
      <c r="K582" s="6">
        <f t="shared" si="1"/>
        <v>4.247488312</v>
      </c>
      <c r="L582" s="7">
        <f t="shared" si="2"/>
        <v>457</v>
      </c>
      <c r="M582" s="8">
        <f t="shared" si="3"/>
        <v>44480</v>
      </c>
      <c r="N582" s="9" t="str">
        <f>IFERROR(__xludf.DUMMYFUNCTION("IFS(
REGEXMATCH(LOWER(A582),""option|options""),""Options Strategy Education"",
REGEXMATCH(LOWER(A582),""bank nifty|nifty|index""),""Index Options"",
REGEXMATCH(LOWER(A582),""algo|api|systematic""),""Algo Trading / API Tutorial"",
REGEXMATCH(LOWER(A582),"&amp;"""groww|mtf|margin|pledge""),""Platform / Groww Feature Tutorial"",
REGEXMATCH(LOWER(A582),""candlestick|chart|price action|trendline|rsi|indicator""),""Technical Analysis / Chart Patterns"",
REGEXMATCH(LOWER(A582),""beginner|guide|start trading""),""Begi"&amp;"nner Trading Education"",
REGEXMATCH(LOWER(A582),""interview|journey|talks|wisdom""),""Expert Interview / Trading Insights"",
REGEXMATCH(LOWER(A582),""risk|loss|drawdown|psychology""),""Trading Psychology / Risk Management"",
REGEXMATCH(LOWER(A582),""comm"&amp;"odity|crude|gold|natural gas""),""Commodity Trading Education"",
TRUE,""General Trading Education""
)
"),"Platform / Groww Feature Tutorial")</f>
        <v>Platform / Groww Feature Tutorial</v>
      </c>
    </row>
    <row r="583" ht="15.75" customHeight="1">
      <c r="A583" s="1" t="s">
        <v>2918</v>
      </c>
      <c r="B583" s="3" t="s">
        <v>2919</v>
      </c>
      <c r="C583" s="1" t="s">
        <v>2920</v>
      </c>
      <c r="D583" s="1" t="s">
        <v>2921</v>
      </c>
      <c r="E583" s="4">
        <v>44479.0</v>
      </c>
      <c r="F583" s="5">
        <v>0.46458333333333335</v>
      </c>
      <c r="G583" s="1">
        <v>85946.0</v>
      </c>
      <c r="H583" s="1">
        <v>3102.0</v>
      </c>
      <c r="I583" s="1">
        <v>91.0</v>
      </c>
      <c r="J583" s="3" t="s">
        <v>2922</v>
      </c>
      <c r="K583" s="6">
        <f t="shared" si="1"/>
        <v>3.71512345</v>
      </c>
      <c r="L583" s="7">
        <f t="shared" si="2"/>
        <v>669</v>
      </c>
      <c r="M583" s="8">
        <f t="shared" si="3"/>
        <v>44473</v>
      </c>
      <c r="N583" s="9" t="str">
        <f>IFERROR(__xludf.DUMMYFUNCTION("IFS(
REGEXMATCH(LOWER(A583),""option|options""),""Options Strategy Education"",
REGEXMATCH(LOWER(A583),""bank nifty|nifty|index""),""Index Options"",
REGEXMATCH(LOWER(A583),""algo|api|systematic""),""Algo Trading / API Tutorial"",
REGEXMATCH(LOWER(A583),"&amp;"""groww|mtf|margin|pledge""),""Platform / Groww Feature Tutorial"",
REGEXMATCH(LOWER(A583),""candlestick|chart|price action|trendline|rsi|indicator""),""Technical Analysis / Chart Patterns"",
REGEXMATCH(LOWER(A583),""beginner|guide|start trading""),""Begi"&amp;"nner Trading Education"",
REGEXMATCH(LOWER(A583),""interview|journey|talks|wisdom""),""Expert Interview / Trading Insights"",
REGEXMATCH(LOWER(A583),""risk|loss|drawdown|psychology""),""Trading Psychology / Risk Management"",
REGEXMATCH(LOWER(A583),""comm"&amp;"odity|crude|gold|natural gas""),""Commodity Trading Education"",
TRUE,""General Trading Education""
)
"),"Technical Analysis / Chart Patterns")</f>
        <v>Technical Analysis / Chart Patterns</v>
      </c>
    </row>
    <row r="584" ht="15.75" customHeight="1">
      <c r="A584" s="1" t="s">
        <v>2923</v>
      </c>
      <c r="B584" s="3" t="s">
        <v>2924</v>
      </c>
      <c r="C584" s="1" t="s">
        <v>2925</v>
      </c>
      <c r="D584" s="1" t="s">
        <v>2926</v>
      </c>
      <c r="E584" s="4">
        <v>44476.0</v>
      </c>
      <c r="F584" s="5">
        <v>0.1986111111111111</v>
      </c>
      <c r="G584" s="1">
        <v>70502.0</v>
      </c>
      <c r="H584" s="1">
        <v>3118.0</v>
      </c>
      <c r="I584" s="1">
        <v>68.0</v>
      </c>
      <c r="J584" s="3" t="s">
        <v>2927</v>
      </c>
      <c r="K584" s="6">
        <f t="shared" si="1"/>
        <v>4.519020737</v>
      </c>
      <c r="L584" s="7">
        <f t="shared" si="2"/>
        <v>286</v>
      </c>
      <c r="M584" s="8">
        <f t="shared" si="3"/>
        <v>44473</v>
      </c>
      <c r="N584" s="9" t="str">
        <f>IFERROR(__xludf.DUMMYFUNCTION("IFS(
REGEXMATCH(LOWER(A584),""option|options""),""Options Strategy Education"",
REGEXMATCH(LOWER(A584),""bank nifty|nifty|index""),""Index Options"",
REGEXMATCH(LOWER(A584),""algo|api|systematic""),""Algo Trading / API Tutorial"",
REGEXMATCH(LOWER(A584),"&amp;"""groww|mtf|margin|pledge""),""Platform / Groww Feature Tutorial"",
REGEXMATCH(LOWER(A584),""candlestick|chart|price action|trendline|rsi|indicator""),""Technical Analysis / Chart Patterns"",
REGEXMATCH(LOWER(A584),""beginner|guide|start trading""),""Begi"&amp;"nner Trading Education"",
REGEXMATCH(LOWER(A584),""interview|journey|talks|wisdom""),""Expert Interview / Trading Insights"",
REGEXMATCH(LOWER(A584),""risk|loss|drawdown|psychology""),""Trading Psychology / Risk Management"",
REGEXMATCH(LOWER(A584),""comm"&amp;"odity|crude|gold|natural gas""),""Commodity Trading Education"",
TRUE,""General Trading Education""
)
"),"Platform / Groww Feature Tutorial")</f>
        <v>Platform / Groww Feature Tutorial</v>
      </c>
    </row>
  </sheetData>
  <hyperlinks>
    <hyperlink r:id="rId1" ref="B2"/>
    <hyperlink r:id="rId2" ref="J2"/>
    <hyperlink r:id="rId3" ref="B3"/>
    <hyperlink r:id="rId4" ref="J3"/>
    <hyperlink r:id="rId5" ref="B4"/>
    <hyperlink r:id="rId6" ref="J4"/>
    <hyperlink r:id="rId7" ref="B5"/>
    <hyperlink r:id="rId8" ref="J5"/>
    <hyperlink r:id="rId9" ref="B6"/>
    <hyperlink r:id="rId10" ref="J6"/>
    <hyperlink r:id="rId11" ref="B7"/>
    <hyperlink r:id="rId12" ref="J7"/>
    <hyperlink r:id="rId13" ref="B8"/>
    <hyperlink r:id="rId14" ref="J8"/>
    <hyperlink r:id="rId15" ref="B9"/>
    <hyperlink r:id="rId16" ref="J9"/>
    <hyperlink r:id="rId17" ref="B10"/>
    <hyperlink r:id="rId18" ref="J10"/>
    <hyperlink r:id="rId19" ref="B11"/>
    <hyperlink r:id="rId20" ref="J11"/>
    <hyperlink r:id="rId21" ref="B12"/>
    <hyperlink r:id="rId22" ref="J12"/>
    <hyperlink r:id="rId23" ref="B13"/>
    <hyperlink r:id="rId24" ref="J13"/>
    <hyperlink r:id="rId25" ref="B14"/>
    <hyperlink r:id="rId26" ref="J14"/>
    <hyperlink r:id="rId27" ref="B15"/>
    <hyperlink r:id="rId28" ref="J15"/>
    <hyperlink r:id="rId29" ref="B16"/>
    <hyperlink r:id="rId30" ref="J16"/>
    <hyperlink r:id="rId31" ref="B17"/>
    <hyperlink r:id="rId32" ref="J17"/>
    <hyperlink r:id="rId33" ref="B18"/>
    <hyperlink r:id="rId34" ref="J18"/>
    <hyperlink r:id="rId35" ref="B19"/>
    <hyperlink r:id="rId36" ref="J19"/>
    <hyperlink r:id="rId37" ref="B20"/>
    <hyperlink r:id="rId38" ref="J20"/>
    <hyperlink r:id="rId39" ref="B21"/>
    <hyperlink r:id="rId40" ref="J21"/>
    <hyperlink r:id="rId41" ref="B22"/>
    <hyperlink r:id="rId42" ref="J22"/>
    <hyperlink r:id="rId43" ref="B23"/>
    <hyperlink r:id="rId44" ref="J23"/>
    <hyperlink r:id="rId45" ref="B24"/>
    <hyperlink r:id="rId46" ref="J24"/>
    <hyperlink r:id="rId47" ref="B25"/>
    <hyperlink r:id="rId48" ref="J25"/>
    <hyperlink r:id="rId49" ref="B26"/>
    <hyperlink r:id="rId50" ref="J26"/>
    <hyperlink r:id="rId51" ref="B27"/>
    <hyperlink r:id="rId52" ref="J27"/>
    <hyperlink r:id="rId53" ref="B28"/>
    <hyperlink r:id="rId54" ref="J28"/>
    <hyperlink r:id="rId55" ref="B29"/>
    <hyperlink r:id="rId56" ref="J29"/>
    <hyperlink r:id="rId57" ref="B30"/>
    <hyperlink r:id="rId58" ref="J30"/>
    <hyperlink r:id="rId59" ref="B31"/>
    <hyperlink r:id="rId60" ref="J31"/>
    <hyperlink r:id="rId61" ref="B32"/>
    <hyperlink r:id="rId62" ref="J32"/>
    <hyperlink r:id="rId63" ref="B33"/>
    <hyperlink r:id="rId64" ref="J33"/>
    <hyperlink r:id="rId65" ref="B34"/>
    <hyperlink r:id="rId66" ref="J34"/>
    <hyperlink r:id="rId67" ref="B35"/>
    <hyperlink r:id="rId68" ref="J35"/>
    <hyperlink r:id="rId69" ref="B36"/>
    <hyperlink r:id="rId70" ref="J36"/>
    <hyperlink r:id="rId71" ref="B37"/>
    <hyperlink r:id="rId72" ref="J37"/>
    <hyperlink r:id="rId73" ref="B38"/>
    <hyperlink r:id="rId74" ref="J38"/>
    <hyperlink r:id="rId75" ref="B39"/>
    <hyperlink r:id="rId76" ref="J39"/>
    <hyperlink r:id="rId77" ref="B40"/>
    <hyperlink r:id="rId78" ref="J40"/>
    <hyperlink r:id="rId79" ref="B41"/>
    <hyperlink r:id="rId80" ref="J41"/>
    <hyperlink r:id="rId81" ref="B42"/>
    <hyperlink r:id="rId82" ref="J42"/>
    <hyperlink r:id="rId83" ref="B43"/>
    <hyperlink r:id="rId84" ref="J43"/>
    <hyperlink r:id="rId85" ref="B44"/>
    <hyperlink r:id="rId86" ref="J44"/>
    <hyperlink r:id="rId87" ref="B45"/>
    <hyperlink r:id="rId88" ref="J45"/>
    <hyperlink r:id="rId89" ref="B46"/>
    <hyperlink r:id="rId90" ref="J46"/>
    <hyperlink r:id="rId91" ref="B47"/>
    <hyperlink r:id="rId92" ref="J47"/>
    <hyperlink r:id="rId93" ref="B48"/>
    <hyperlink r:id="rId94" ref="J48"/>
    <hyperlink r:id="rId95" ref="B49"/>
    <hyperlink r:id="rId96" ref="J49"/>
    <hyperlink r:id="rId97" ref="B50"/>
    <hyperlink r:id="rId98" ref="J50"/>
    <hyperlink r:id="rId99" ref="B51"/>
    <hyperlink r:id="rId100" ref="J51"/>
    <hyperlink r:id="rId101" ref="B52"/>
    <hyperlink r:id="rId102" ref="J52"/>
    <hyperlink r:id="rId103" ref="B53"/>
    <hyperlink r:id="rId104" ref="J53"/>
    <hyperlink r:id="rId105" ref="B54"/>
    <hyperlink r:id="rId106" ref="J54"/>
    <hyperlink r:id="rId107" ref="B55"/>
    <hyperlink r:id="rId108" ref="J55"/>
    <hyperlink r:id="rId109" ref="B56"/>
    <hyperlink r:id="rId110" ref="J56"/>
    <hyperlink r:id="rId111" ref="B57"/>
    <hyperlink r:id="rId112" ref="J57"/>
    <hyperlink r:id="rId113" ref="B58"/>
    <hyperlink r:id="rId114" ref="J58"/>
    <hyperlink r:id="rId115" ref="B59"/>
    <hyperlink r:id="rId116" ref="J59"/>
    <hyperlink r:id="rId117" ref="B60"/>
    <hyperlink r:id="rId118" ref="J60"/>
    <hyperlink r:id="rId119" ref="B61"/>
    <hyperlink r:id="rId120" ref="J61"/>
    <hyperlink r:id="rId121" ref="B62"/>
    <hyperlink r:id="rId122" ref="J62"/>
    <hyperlink r:id="rId123" ref="B63"/>
    <hyperlink r:id="rId124" ref="J63"/>
    <hyperlink r:id="rId125" ref="B64"/>
    <hyperlink r:id="rId126" ref="J64"/>
    <hyperlink r:id="rId127" ref="B65"/>
    <hyperlink r:id="rId128" ref="J65"/>
    <hyperlink r:id="rId129" ref="B66"/>
    <hyperlink r:id="rId130" ref="J66"/>
    <hyperlink r:id="rId131" ref="B67"/>
    <hyperlink r:id="rId132" ref="J67"/>
    <hyperlink r:id="rId133" ref="B68"/>
    <hyperlink r:id="rId134" ref="J68"/>
    <hyperlink r:id="rId135" ref="B69"/>
    <hyperlink r:id="rId136" ref="J69"/>
    <hyperlink r:id="rId137" ref="B70"/>
    <hyperlink r:id="rId138" ref="J70"/>
    <hyperlink r:id="rId139" ref="B71"/>
    <hyperlink r:id="rId140" ref="J71"/>
    <hyperlink r:id="rId141" ref="B72"/>
    <hyperlink r:id="rId142" ref="J72"/>
    <hyperlink r:id="rId143" ref="B73"/>
    <hyperlink r:id="rId144" ref="J73"/>
    <hyperlink r:id="rId145" ref="B74"/>
    <hyperlink r:id="rId146" ref="J74"/>
    <hyperlink r:id="rId147" ref="B75"/>
    <hyperlink r:id="rId148" ref="J75"/>
    <hyperlink r:id="rId149" ref="B76"/>
    <hyperlink r:id="rId150" ref="J76"/>
    <hyperlink r:id="rId151" ref="B77"/>
    <hyperlink r:id="rId152" ref="J77"/>
    <hyperlink r:id="rId153" ref="B78"/>
    <hyperlink r:id="rId154" ref="J78"/>
    <hyperlink r:id="rId155" ref="B79"/>
    <hyperlink r:id="rId156" ref="J79"/>
    <hyperlink r:id="rId157" ref="B80"/>
    <hyperlink r:id="rId158" ref="J80"/>
    <hyperlink r:id="rId159" ref="B81"/>
    <hyperlink r:id="rId160" ref="J81"/>
    <hyperlink r:id="rId161" ref="B82"/>
    <hyperlink r:id="rId162" ref="J82"/>
    <hyperlink r:id="rId163" ref="B83"/>
    <hyperlink r:id="rId164" ref="J83"/>
    <hyperlink r:id="rId165" ref="B84"/>
    <hyperlink r:id="rId166" ref="J84"/>
    <hyperlink r:id="rId167" ref="B85"/>
    <hyperlink r:id="rId168" ref="J85"/>
    <hyperlink r:id="rId169" ref="B86"/>
    <hyperlink r:id="rId170" ref="J86"/>
    <hyperlink r:id="rId171" ref="B87"/>
    <hyperlink r:id="rId172" ref="J87"/>
    <hyperlink r:id="rId173" ref="B88"/>
    <hyperlink r:id="rId174" ref="J88"/>
    <hyperlink r:id="rId175" ref="B89"/>
    <hyperlink r:id="rId176" ref="J89"/>
    <hyperlink r:id="rId177" ref="B90"/>
    <hyperlink r:id="rId178" ref="J90"/>
    <hyperlink r:id="rId179" ref="B91"/>
    <hyperlink r:id="rId180" ref="J91"/>
    <hyperlink r:id="rId181" ref="B92"/>
    <hyperlink r:id="rId182" ref="J92"/>
    <hyperlink r:id="rId183" ref="B93"/>
    <hyperlink r:id="rId184" ref="J93"/>
    <hyperlink r:id="rId185" ref="B94"/>
    <hyperlink r:id="rId186" ref="J94"/>
    <hyperlink r:id="rId187" ref="B95"/>
    <hyperlink r:id="rId188" ref="J95"/>
    <hyperlink r:id="rId189" ref="B96"/>
    <hyperlink r:id="rId190" ref="J96"/>
    <hyperlink r:id="rId191" ref="B97"/>
    <hyperlink r:id="rId192" ref="J97"/>
    <hyperlink r:id="rId193" ref="B98"/>
    <hyperlink r:id="rId194" ref="J98"/>
    <hyperlink r:id="rId195" ref="B99"/>
    <hyperlink r:id="rId196" ref="J99"/>
    <hyperlink r:id="rId197" ref="B100"/>
    <hyperlink r:id="rId198" ref="J100"/>
    <hyperlink r:id="rId199" ref="B101"/>
    <hyperlink r:id="rId200" ref="J101"/>
    <hyperlink r:id="rId201" ref="B102"/>
    <hyperlink r:id="rId202" ref="J102"/>
    <hyperlink r:id="rId203" ref="B103"/>
    <hyperlink r:id="rId204" ref="J103"/>
    <hyperlink r:id="rId205" ref="B104"/>
    <hyperlink r:id="rId206" ref="J104"/>
    <hyperlink r:id="rId207" ref="B105"/>
    <hyperlink r:id="rId208" ref="J105"/>
    <hyperlink r:id="rId209" ref="B106"/>
    <hyperlink r:id="rId210" ref="J106"/>
    <hyperlink r:id="rId211" ref="B107"/>
    <hyperlink r:id="rId212" ref="J107"/>
    <hyperlink r:id="rId213" ref="B108"/>
    <hyperlink r:id="rId214" ref="J108"/>
    <hyperlink r:id="rId215" ref="B109"/>
    <hyperlink r:id="rId216" ref="J109"/>
    <hyperlink r:id="rId217" ref="B110"/>
    <hyperlink r:id="rId218" ref="J110"/>
    <hyperlink r:id="rId219" ref="B111"/>
    <hyperlink r:id="rId220" ref="J111"/>
    <hyperlink r:id="rId221" ref="B112"/>
    <hyperlink r:id="rId222" ref="J112"/>
    <hyperlink r:id="rId223" ref="B113"/>
    <hyperlink r:id="rId224" ref="J113"/>
    <hyperlink r:id="rId225" ref="B114"/>
    <hyperlink r:id="rId226" ref="J114"/>
    <hyperlink r:id="rId227" ref="B115"/>
    <hyperlink r:id="rId228" ref="J115"/>
    <hyperlink r:id="rId229" ref="B116"/>
    <hyperlink r:id="rId230" ref="J116"/>
    <hyperlink r:id="rId231" ref="B117"/>
    <hyperlink r:id="rId232" ref="J117"/>
    <hyperlink r:id="rId233" ref="B118"/>
    <hyperlink r:id="rId234" ref="J118"/>
    <hyperlink r:id="rId235" ref="B119"/>
    <hyperlink r:id="rId236" ref="J119"/>
    <hyperlink r:id="rId237" ref="B120"/>
    <hyperlink r:id="rId238" ref="J120"/>
    <hyperlink r:id="rId239" ref="B121"/>
    <hyperlink r:id="rId240" ref="J121"/>
    <hyperlink r:id="rId241" ref="B122"/>
    <hyperlink r:id="rId242" ref="J122"/>
    <hyperlink r:id="rId243" ref="B123"/>
    <hyperlink r:id="rId244" ref="J123"/>
    <hyperlink r:id="rId245" ref="B124"/>
    <hyperlink r:id="rId246" ref="J124"/>
    <hyperlink r:id="rId247" ref="B125"/>
    <hyperlink r:id="rId248" ref="J125"/>
    <hyperlink r:id="rId249" ref="B126"/>
    <hyperlink r:id="rId250" ref="J126"/>
    <hyperlink r:id="rId251" ref="B127"/>
    <hyperlink r:id="rId252" ref="J127"/>
    <hyperlink r:id="rId253" ref="B128"/>
    <hyperlink r:id="rId254" ref="J128"/>
    <hyperlink r:id="rId255" ref="B129"/>
    <hyperlink r:id="rId256" ref="J129"/>
    <hyperlink r:id="rId257" ref="B130"/>
    <hyperlink r:id="rId258" ref="J130"/>
    <hyperlink r:id="rId259" ref="B131"/>
    <hyperlink r:id="rId260" ref="J131"/>
    <hyperlink r:id="rId261" ref="B132"/>
    <hyperlink r:id="rId262" ref="J132"/>
    <hyperlink r:id="rId263" ref="B133"/>
    <hyperlink r:id="rId264" ref="J133"/>
    <hyperlink r:id="rId265" ref="B134"/>
    <hyperlink r:id="rId266" ref="J134"/>
    <hyperlink r:id="rId267" ref="B135"/>
    <hyperlink r:id="rId268" ref="J135"/>
    <hyperlink r:id="rId269" ref="B136"/>
    <hyperlink r:id="rId270" ref="J136"/>
    <hyperlink r:id="rId271" ref="B137"/>
    <hyperlink r:id="rId272" ref="J137"/>
    <hyperlink r:id="rId273" ref="B138"/>
    <hyperlink r:id="rId274" ref="J138"/>
    <hyperlink r:id="rId275" ref="B139"/>
    <hyperlink r:id="rId276" ref="J139"/>
    <hyperlink r:id="rId277" ref="B140"/>
    <hyperlink r:id="rId278" ref="J140"/>
    <hyperlink r:id="rId279" ref="B141"/>
    <hyperlink r:id="rId280" ref="J141"/>
    <hyperlink r:id="rId281" ref="B142"/>
    <hyperlink r:id="rId282" ref="J142"/>
    <hyperlink r:id="rId283" ref="B143"/>
    <hyperlink r:id="rId284" ref="J143"/>
    <hyperlink r:id="rId285" ref="B144"/>
    <hyperlink r:id="rId286" ref="J144"/>
    <hyperlink r:id="rId287" ref="B145"/>
    <hyperlink r:id="rId288" ref="J145"/>
    <hyperlink r:id="rId289" ref="B146"/>
    <hyperlink r:id="rId290" ref="J146"/>
    <hyperlink r:id="rId291" ref="B147"/>
    <hyperlink r:id="rId292" ref="J147"/>
    <hyperlink r:id="rId293" ref="B148"/>
    <hyperlink r:id="rId294" ref="J148"/>
    <hyperlink r:id="rId295" ref="B149"/>
    <hyperlink r:id="rId296" ref="J149"/>
    <hyperlink r:id="rId297" ref="B150"/>
    <hyperlink r:id="rId298" ref="J150"/>
    <hyperlink r:id="rId299" ref="B151"/>
    <hyperlink r:id="rId300" ref="J151"/>
    <hyperlink r:id="rId301" ref="B152"/>
    <hyperlink r:id="rId302" ref="J152"/>
    <hyperlink r:id="rId303" ref="B153"/>
    <hyperlink r:id="rId304" ref="J153"/>
    <hyperlink r:id="rId305" ref="B154"/>
    <hyperlink r:id="rId306" ref="J154"/>
    <hyperlink r:id="rId307" ref="B155"/>
    <hyperlink r:id="rId308" ref="J155"/>
    <hyperlink r:id="rId309" ref="B156"/>
    <hyperlink r:id="rId310" ref="J156"/>
    <hyperlink r:id="rId311" ref="B157"/>
    <hyperlink r:id="rId312" ref="J157"/>
    <hyperlink r:id="rId313" ref="B158"/>
    <hyperlink r:id="rId314" ref="J158"/>
    <hyperlink r:id="rId315" ref="B159"/>
    <hyperlink r:id="rId316" ref="J159"/>
    <hyperlink r:id="rId317" ref="B160"/>
    <hyperlink r:id="rId318" ref="J160"/>
    <hyperlink r:id="rId319" ref="B161"/>
    <hyperlink r:id="rId320" ref="J161"/>
    <hyperlink r:id="rId321" ref="B162"/>
    <hyperlink r:id="rId322" ref="J162"/>
    <hyperlink r:id="rId323" ref="B163"/>
    <hyperlink r:id="rId324" ref="J163"/>
    <hyperlink r:id="rId325" ref="B164"/>
    <hyperlink r:id="rId326" ref="J164"/>
    <hyperlink r:id="rId327" ref="B165"/>
    <hyperlink r:id="rId328" ref="J165"/>
    <hyperlink r:id="rId329" ref="B166"/>
    <hyperlink r:id="rId330" ref="J166"/>
    <hyperlink r:id="rId331" ref="B167"/>
    <hyperlink r:id="rId332" ref="J167"/>
    <hyperlink r:id="rId333" ref="B168"/>
    <hyperlink r:id="rId334" ref="J168"/>
    <hyperlink r:id="rId335" ref="B169"/>
    <hyperlink r:id="rId336" ref="J169"/>
    <hyperlink r:id="rId337" ref="B170"/>
    <hyperlink r:id="rId338" ref="J170"/>
    <hyperlink r:id="rId339" ref="B171"/>
    <hyperlink r:id="rId340" ref="J171"/>
    <hyperlink r:id="rId341" ref="B172"/>
    <hyperlink r:id="rId342" ref="J172"/>
    <hyperlink r:id="rId343" ref="B173"/>
    <hyperlink r:id="rId344" ref="J173"/>
    <hyperlink r:id="rId345" ref="B174"/>
    <hyperlink r:id="rId346" ref="J174"/>
    <hyperlink r:id="rId347" ref="B175"/>
    <hyperlink r:id="rId348" ref="J175"/>
    <hyperlink r:id="rId349" ref="B176"/>
    <hyperlink r:id="rId350" ref="J176"/>
    <hyperlink r:id="rId351" ref="B177"/>
    <hyperlink r:id="rId352" ref="J177"/>
    <hyperlink r:id="rId353" ref="B178"/>
    <hyperlink r:id="rId354" ref="J178"/>
    <hyperlink r:id="rId355" ref="B179"/>
    <hyperlink r:id="rId356" ref="J179"/>
    <hyperlink r:id="rId357" ref="B180"/>
    <hyperlink r:id="rId358" ref="J180"/>
    <hyperlink r:id="rId359" ref="B181"/>
    <hyperlink r:id="rId360" ref="J181"/>
    <hyperlink r:id="rId361" ref="B182"/>
    <hyperlink r:id="rId362" ref="J182"/>
    <hyperlink r:id="rId363" ref="B183"/>
    <hyperlink r:id="rId364" ref="J183"/>
    <hyperlink r:id="rId365" ref="B184"/>
    <hyperlink r:id="rId366" ref="J184"/>
    <hyperlink r:id="rId367" ref="B185"/>
    <hyperlink r:id="rId368" ref="J185"/>
    <hyperlink r:id="rId369" ref="B186"/>
    <hyperlink r:id="rId370" ref="J186"/>
    <hyperlink r:id="rId371" ref="B187"/>
    <hyperlink r:id="rId372" ref="J187"/>
    <hyperlink r:id="rId373" ref="B188"/>
    <hyperlink r:id="rId374" ref="J188"/>
    <hyperlink r:id="rId375" ref="B189"/>
    <hyperlink r:id="rId376" ref="J189"/>
    <hyperlink r:id="rId377" ref="B190"/>
    <hyperlink r:id="rId378" ref="J190"/>
    <hyperlink r:id="rId379" ref="B191"/>
    <hyperlink r:id="rId380" ref="J191"/>
    <hyperlink r:id="rId381" ref="B192"/>
    <hyperlink r:id="rId382" ref="J192"/>
    <hyperlink r:id="rId383" ref="B193"/>
    <hyperlink r:id="rId384" ref="J193"/>
    <hyperlink r:id="rId385" ref="B194"/>
    <hyperlink r:id="rId386" ref="J194"/>
    <hyperlink r:id="rId387" ref="B195"/>
    <hyperlink r:id="rId388" ref="J195"/>
    <hyperlink r:id="rId389" ref="B196"/>
    <hyperlink r:id="rId390" ref="J196"/>
    <hyperlink r:id="rId391" ref="B197"/>
    <hyperlink r:id="rId392" ref="J197"/>
    <hyperlink r:id="rId393" ref="B198"/>
    <hyperlink r:id="rId394" ref="J198"/>
    <hyperlink r:id="rId395" ref="B199"/>
    <hyperlink r:id="rId396" ref="J199"/>
    <hyperlink r:id="rId397" ref="B200"/>
    <hyperlink r:id="rId398" ref="J200"/>
    <hyperlink r:id="rId399" ref="B201"/>
    <hyperlink r:id="rId400" ref="J201"/>
    <hyperlink r:id="rId401" ref="B202"/>
    <hyperlink r:id="rId402" ref="J202"/>
    <hyperlink r:id="rId403" ref="B203"/>
    <hyperlink r:id="rId404" ref="J203"/>
    <hyperlink r:id="rId405" ref="B204"/>
    <hyperlink r:id="rId406" ref="J204"/>
    <hyperlink r:id="rId407" ref="B205"/>
    <hyperlink r:id="rId408" ref="J205"/>
    <hyperlink r:id="rId409" ref="B206"/>
    <hyperlink r:id="rId410" ref="J206"/>
    <hyperlink r:id="rId411" ref="B207"/>
    <hyperlink r:id="rId412" ref="J207"/>
    <hyperlink r:id="rId413" ref="B208"/>
    <hyperlink r:id="rId414" ref="J208"/>
    <hyperlink r:id="rId415" ref="B209"/>
    <hyperlink r:id="rId416" ref="J209"/>
    <hyperlink r:id="rId417" ref="B210"/>
    <hyperlink r:id="rId418" ref="J210"/>
    <hyperlink r:id="rId419" ref="B211"/>
    <hyperlink r:id="rId420" ref="J211"/>
    <hyperlink r:id="rId421" ref="B212"/>
    <hyperlink r:id="rId422" ref="J212"/>
    <hyperlink r:id="rId423" ref="B213"/>
    <hyperlink r:id="rId424" ref="J213"/>
    <hyperlink r:id="rId425" ref="B214"/>
    <hyperlink r:id="rId426" ref="J214"/>
    <hyperlink r:id="rId427" ref="B215"/>
    <hyperlink r:id="rId428" ref="J215"/>
    <hyperlink r:id="rId429" ref="B216"/>
    <hyperlink r:id="rId430" ref="J216"/>
    <hyperlink r:id="rId431" ref="B217"/>
    <hyperlink r:id="rId432" ref="J217"/>
    <hyperlink r:id="rId433" ref="B218"/>
    <hyperlink r:id="rId434" ref="J218"/>
    <hyperlink r:id="rId435" ref="B219"/>
    <hyperlink r:id="rId436" ref="J219"/>
    <hyperlink r:id="rId437" ref="B220"/>
    <hyperlink r:id="rId438" ref="J220"/>
    <hyperlink r:id="rId439" ref="B221"/>
    <hyperlink r:id="rId440" ref="J221"/>
    <hyperlink r:id="rId441" ref="B222"/>
    <hyperlink r:id="rId442" ref="J222"/>
    <hyperlink r:id="rId443" ref="B223"/>
    <hyperlink r:id="rId444" ref="J223"/>
    <hyperlink r:id="rId445" ref="B224"/>
    <hyperlink r:id="rId446" ref="J224"/>
    <hyperlink r:id="rId447" ref="B225"/>
    <hyperlink r:id="rId448" ref="J225"/>
    <hyperlink r:id="rId449" ref="B226"/>
    <hyperlink r:id="rId450" ref="J226"/>
    <hyperlink r:id="rId451" ref="B227"/>
    <hyperlink r:id="rId452" ref="J227"/>
    <hyperlink r:id="rId453" ref="B228"/>
    <hyperlink r:id="rId454" ref="J228"/>
    <hyperlink r:id="rId455" ref="B229"/>
    <hyperlink r:id="rId456" ref="J229"/>
    <hyperlink r:id="rId457" ref="B230"/>
    <hyperlink r:id="rId458" ref="J230"/>
    <hyperlink r:id="rId459" ref="B231"/>
    <hyperlink r:id="rId460" ref="J231"/>
    <hyperlink r:id="rId461" ref="B232"/>
    <hyperlink r:id="rId462" ref="J232"/>
    <hyperlink r:id="rId463" ref="B233"/>
    <hyperlink r:id="rId464" ref="J233"/>
    <hyperlink r:id="rId465" ref="B234"/>
    <hyperlink r:id="rId466" ref="J234"/>
    <hyperlink r:id="rId467" ref="B235"/>
    <hyperlink r:id="rId468" ref="J235"/>
    <hyperlink r:id="rId469" ref="B236"/>
    <hyperlink r:id="rId470" ref="J236"/>
    <hyperlink r:id="rId471" ref="B237"/>
    <hyperlink r:id="rId472" ref="J237"/>
    <hyperlink r:id="rId473" ref="B238"/>
    <hyperlink r:id="rId474" ref="J238"/>
    <hyperlink r:id="rId475" ref="B239"/>
    <hyperlink r:id="rId476" ref="J239"/>
    <hyperlink r:id="rId477" ref="B240"/>
    <hyperlink r:id="rId478" ref="J240"/>
    <hyperlink r:id="rId479" ref="B241"/>
    <hyperlink r:id="rId480" ref="J241"/>
    <hyperlink r:id="rId481" ref="B242"/>
    <hyperlink r:id="rId482" ref="J242"/>
    <hyperlink r:id="rId483" ref="B243"/>
    <hyperlink r:id="rId484" ref="J243"/>
    <hyperlink r:id="rId485" ref="B244"/>
    <hyperlink r:id="rId486" ref="J244"/>
    <hyperlink r:id="rId487" ref="B245"/>
    <hyperlink r:id="rId488" ref="J245"/>
    <hyperlink r:id="rId489" ref="B246"/>
    <hyperlink r:id="rId490" ref="J246"/>
    <hyperlink r:id="rId491" ref="B247"/>
    <hyperlink r:id="rId492" ref="J247"/>
    <hyperlink r:id="rId493" ref="B248"/>
    <hyperlink r:id="rId494" ref="J248"/>
    <hyperlink r:id="rId495" ref="B249"/>
    <hyperlink r:id="rId496" ref="J249"/>
    <hyperlink r:id="rId497" ref="B250"/>
    <hyperlink r:id="rId498" ref="J250"/>
    <hyperlink r:id="rId499" ref="B251"/>
    <hyperlink r:id="rId500" ref="J251"/>
    <hyperlink r:id="rId501" ref="B252"/>
    <hyperlink r:id="rId502" ref="J252"/>
    <hyperlink r:id="rId503" ref="B253"/>
    <hyperlink r:id="rId504" ref="J253"/>
    <hyperlink r:id="rId505" ref="B254"/>
    <hyperlink r:id="rId506" ref="J254"/>
    <hyperlink r:id="rId507" ref="B255"/>
    <hyperlink r:id="rId508" ref="J255"/>
    <hyperlink r:id="rId509" ref="B256"/>
    <hyperlink r:id="rId510" ref="J256"/>
    <hyperlink r:id="rId511" ref="B257"/>
    <hyperlink r:id="rId512" ref="J257"/>
    <hyperlink r:id="rId513" ref="B258"/>
    <hyperlink r:id="rId514" ref="J258"/>
    <hyperlink r:id="rId515" ref="B259"/>
    <hyperlink r:id="rId516" ref="J259"/>
    <hyperlink r:id="rId517" ref="B260"/>
    <hyperlink r:id="rId518" ref="J260"/>
    <hyperlink r:id="rId519" ref="B261"/>
    <hyperlink r:id="rId520" ref="J261"/>
    <hyperlink r:id="rId521" ref="B262"/>
    <hyperlink r:id="rId522" ref="J262"/>
    <hyperlink r:id="rId523" ref="B263"/>
    <hyperlink r:id="rId524" ref="J263"/>
    <hyperlink r:id="rId525" ref="B264"/>
    <hyperlink r:id="rId526" ref="J264"/>
    <hyperlink r:id="rId527" ref="B265"/>
    <hyperlink r:id="rId528" ref="J265"/>
    <hyperlink r:id="rId529" ref="B266"/>
    <hyperlink r:id="rId530" ref="J266"/>
    <hyperlink r:id="rId531" ref="B267"/>
    <hyperlink r:id="rId532" ref="J267"/>
    <hyperlink r:id="rId533" ref="B268"/>
    <hyperlink r:id="rId534" ref="J268"/>
    <hyperlink r:id="rId535" ref="B269"/>
    <hyperlink r:id="rId536" ref="J269"/>
    <hyperlink r:id="rId537" ref="B270"/>
    <hyperlink r:id="rId538" ref="J270"/>
    <hyperlink r:id="rId539" ref="B271"/>
    <hyperlink r:id="rId540" ref="J271"/>
    <hyperlink r:id="rId541" ref="B272"/>
    <hyperlink r:id="rId542" ref="J272"/>
    <hyperlink r:id="rId543" ref="B273"/>
    <hyperlink r:id="rId544" ref="J273"/>
    <hyperlink r:id="rId545" ref="B274"/>
    <hyperlink r:id="rId546" ref="J274"/>
    <hyperlink r:id="rId547" ref="B275"/>
    <hyperlink r:id="rId548" ref="J275"/>
    <hyperlink r:id="rId549" ref="B276"/>
    <hyperlink r:id="rId550" ref="J276"/>
    <hyperlink r:id="rId551" ref="B277"/>
    <hyperlink r:id="rId552" ref="J277"/>
    <hyperlink r:id="rId553" ref="B278"/>
    <hyperlink r:id="rId554" ref="J278"/>
    <hyperlink r:id="rId555" ref="B279"/>
    <hyperlink r:id="rId556" ref="J279"/>
    <hyperlink r:id="rId557" ref="B280"/>
    <hyperlink r:id="rId558" ref="J280"/>
    <hyperlink r:id="rId559" ref="B281"/>
    <hyperlink r:id="rId560" ref="J281"/>
    <hyperlink r:id="rId561" ref="B282"/>
    <hyperlink r:id="rId562" ref="J282"/>
    <hyperlink r:id="rId563" ref="B283"/>
    <hyperlink r:id="rId564" ref="J283"/>
    <hyperlink r:id="rId565" ref="B284"/>
    <hyperlink r:id="rId566" ref="J284"/>
    <hyperlink r:id="rId567" ref="B285"/>
    <hyperlink r:id="rId568" ref="J285"/>
    <hyperlink r:id="rId569" ref="B286"/>
    <hyperlink r:id="rId570" ref="J286"/>
    <hyperlink r:id="rId571" ref="B287"/>
    <hyperlink r:id="rId572" ref="J287"/>
    <hyperlink r:id="rId573" ref="B288"/>
    <hyperlink r:id="rId574" ref="J288"/>
    <hyperlink r:id="rId575" ref="B289"/>
    <hyperlink r:id="rId576" ref="J289"/>
    <hyperlink r:id="rId577" ref="B290"/>
    <hyperlink r:id="rId578" ref="J290"/>
    <hyperlink r:id="rId579" ref="B291"/>
    <hyperlink r:id="rId580" ref="J291"/>
    <hyperlink r:id="rId581" ref="B292"/>
    <hyperlink r:id="rId582" ref="J292"/>
    <hyperlink r:id="rId583" ref="B293"/>
    <hyperlink r:id="rId584" ref="J293"/>
    <hyperlink r:id="rId585" ref="B294"/>
    <hyperlink r:id="rId586" ref="J294"/>
    <hyperlink r:id="rId587" ref="B295"/>
    <hyperlink r:id="rId588" ref="J295"/>
    <hyperlink r:id="rId589" ref="B296"/>
    <hyperlink r:id="rId590" ref="J296"/>
    <hyperlink r:id="rId591" ref="B297"/>
    <hyperlink r:id="rId592" ref="J297"/>
    <hyperlink r:id="rId593" ref="B298"/>
    <hyperlink r:id="rId594" ref="J298"/>
    <hyperlink r:id="rId595" ref="B299"/>
    <hyperlink r:id="rId596" ref="J299"/>
    <hyperlink r:id="rId597" ref="B300"/>
    <hyperlink r:id="rId598" ref="J300"/>
    <hyperlink r:id="rId599" ref="B301"/>
    <hyperlink r:id="rId600" ref="J301"/>
    <hyperlink r:id="rId601" ref="B302"/>
    <hyperlink r:id="rId602" ref="J302"/>
    <hyperlink r:id="rId603" ref="B303"/>
    <hyperlink r:id="rId604" ref="J303"/>
    <hyperlink r:id="rId605" ref="B304"/>
    <hyperlink r:id="rId606" ref="J304"/>
    <hyperlink r:id="rId607" ref="B305"/>
    <hyperlink r:id="rId608" ref="J305"/>
    <hyperlink r:id="rId609" ref="B306"/>
    <hyperlink r:id="rId610" ref="J306"/>
    <hyperlink r:id="rId611" ref="B307"/>
    <hyperlink r:id="rId612" ref="J307"/>
    <hyperlink r:id="rId613" ref="B308"/>
    <hyperlink r:id="rId614" ref="J308"/>
    <hyperlink r:id="rId615" ref="B309"/>
    <hyperlink r:id="rId616" ref="J309"/>
    <hyperlink r:id="rId617" ref="B310"/>
    <hyperlink r:id="rId618" ref="J310"/>
    <hyperlink r:id="rId619" ref="B311"/>
    <hyperlink r:id="rId620" ref="J311"/>
    <hyperlink r:id="rId621" ref="B312"/>
    <hyperlink r:id="rId622" ref="J312"/>
    <hyperlink r:id="rId623" ref="B313"/>
    <hyperlink r:id="rId624" ref="J313"/>
    <hyperlink r:id="rId625" ref="B314"/>
    <hyperlink r:id="rId626" ref="J314"/>
    <hyperlink r:id="rId627" ref="B315"/>
    <hyperlink r:id="rId628" ref="J315"/>
    <hyperlink r:id="rId629" ref="B316"/>
    <hyperlink r:id="rId630" ref="J316"/>
    <hyperlink r:id="rId631" ref="B317"/>
    <hyperlink r:id="rId632" ref="J317"/>
    <hyperlink r:id="rId633" ref="B318"/>
    <hyperlink r:id="rId634" ref="J318"/>
    <hyperlink r:id="rId635" ref="B319"/>
    <hyperlink r:id="rId636" ref="J319"/>
    <hyperlink r:id="rId637" ref="B320"/>
    <hyperlink r:id="rId638" ref="J320"/>
    <hyperlink r:id="rId639" ref="B321"/>
    <hyperlink r:id="rId640" ref="J321"/>
    <hyperlink r:id="rId641" ref="B322"/>
    <hyperlink r:id="rId642" ref="J322"/>
    <hyperlink r:id="rId643" ref="B323"/>
    <hyperlink r:id="rId644" ref="J323"/>
    <hyperlink r:id="rId645" ref="B324"/>
    <hyperlink r:id="rId646" ref="J324"/>
    <hyperlink r:id="rId647" ref="B325"/>
    <hyperlink r:id="rId648" ref="J325"/>
    <hyperlink r:id="rId649" ref="B326"/>
    <hyperlink r:id="rId650" ref="J326"/>
    <hyperlink r:id="rId651" ref="B327"/>
    <hyperlink r:id="rId652" ref="J327"/>
    <hyperlink r:id="rId653" ref="B328"/>
    <hyperlink r:id="rId654" ref="J328"/>
    <hyperlink r:id="rId655" ref="B329"/>
    <hyperlink r:id="rId656" ref="J329"/>
    <hyperlink r:id="rId657" ref="B330"/>
    <hyperlink r:id="rId658" ref="J330"/>
    <hyperlink r:id="rId659" ref="B331"/>
    <hyperlink r:id="rId660" ref="J331"/>
    <hyperlink r:id="rId661" ref="B332"/>
    <hyperlink r:id="rId662" ref="J332"/>
    <hyperlink r:id="rId663" ref="B333"/>
    <hyperlink r:id="rId664" ref="J333"/>
    <hyperlink r:id="rId665" ref="B334"/>
    <hyperlink r:id="rId666" ref="J334"/>
    <hyperlink r:id="rId667" ref="B335"/>
    <hyperlink r:id="rId668" ref="J335"/>
    <hyperlink r:id="rId669" ref="B336"/>
    <hyperlink r:id="rId670" ref="J336"/>
    <hyperlink r:id="rId671" ref="B337"/>
    <hyperlink r:id="rId672" ref="J337"/>
    <hyperlink r:id="rId673" ref="B338"/>
    <hyperlink r:id="rId674" ref="J338"/>
    <hyperlink r:id="rId675" ref="B339"/>
    <hyperlink r:id="rId676" ref="J339"/>
    <hyperlink r:id="rId677" ref="B340"/>
    <hyperlink r:id="rId678" ref="J340"/>
    <hyperlink r:id="rId679" ref="B341"/>
    <hyperlink r:id="rId680" ref="J341"/>
    <hyperlink r:id="rId681" ref="B342"/>
    <hyperlink r:id="rId682" ref="J342"/>
    <hyperlink r:id="rId683" ref="B343"/>
    <hyperlink r:id="rId684" ref="J343"/>
    <hyperlink r:id="rId685" ref="B344"/>
    <hyperlink r:id="rId686" ref="J344"/>
    <hyperlink r:id="rId687" ref="B345"/>
    <hyperlink r:id="rId688" ref="J345"/>
    <hyperlink r:id="rId689" ref="B346"/>
    <hyperlink r:id="rId690" ref="J346"/>
    <hyperlink r:id="rId691" ref="B347"/>
    <hyperlink r:id="rId692" ref="J347"/>
    <hyperlink r:id="rId693" ref="B348"/>
    <hyperlink r:id="rId694" ref="J348"/>
    <hyperlink r:id="rId695" ref="B349"/>
    <hyperlink r:id="rId696" ref="J349"/>
    <hyperlink r:id="rId697" ref="B350"/>
    <hyperlink r:id="rId698" ref="J350"/>
    <hyperlink r:id="rId699" ref="B351"/>
    <hyperlink r:id="rId700" ref="J351"/>
    <hyperlink r:id="rId701" ref="B352"/>
    <hyperlink r:id="rId702" ref="J352"/>
    <hyperlink r:id="rId703" ref="B353"/>
    <hyperlink r:id="rId704" ref="J353"/>
    <hyperlink r:id="rId705" ref="B354"/>
    <hyperlink r:id="rId706" ref="J354"/>
    <hyperlink r:id="rId707" ref="B355"/>
    <hyperlink r:id="rId708" ref="J355"/>
    <hyperlink r:id="rId709" ref="B356"/>
    <hyperlink r:id="rId710" ref="J356"/>
    <hyperlink r:id="rId711" ref="B357"/>
    <hyperlink r:id="rId712" ref="J357"/>
    <hyperlink r:id="rId713" ref="B358"/>
    <hyperlink r:id="rId714" ref="J358"/>
    <hyperlink r:id="rId715" ref="B359"/>
    <hyperlink r:id="rId716" ref="J359"/>
    <hyperlink r:id="rId717" ref="B360"/>
    <hyperlink r:id="rId718" ref="J360"/>
    <hyperlink r:id="rId719" ref="B361"/>
    <hyperlink r:id="rId720" ref="J361"/>
    <hyperlink r:id="rId721" ref="B362"/>
    <hyperlink r:id="rId722" ref="J362"/>
    <hyperlink r:id="rId723" ref="B363"/>
    <hyperlink r:id="rId724" ref="J363"/>
    <hyperlink r:id="rId725" ref="B364"/>
    <hyperlink r:id="rId726" ref="J364"/>
    <hyperlink r:id="rId727" ref="B365"/>
    <hyperlink r:id="rId728" ref="J365"/>
    <hyperlink r:id="rId729" ref="B366"/>
    <hyperlink r:id="rId730" ref="J366"/>
    <hyperlink r:id="rId731" ref="B367"/>
    <hyperlink r:id="rId732" ref="J367"/>
    <hyperlink r:id="rId733" ref="B368"/>
    <hyperlink r:id="rId734" ref="J368"/>
    <hyperlink r:id="rId735" ref="B369"/>
    <hyperlink r:id="rId736" ref="J369"/>
    <hyperlink r:id="rId737" ref="B370"/>
    <hyperlink r:id="rId738" ref="J370"/>
    <hyperlink r:id="rId739" ref="B371"/>
    <hyperlink r:id="rId740" ref="J371"/>
    <hyperlink r:id="rId741" ref="B372"/>
    <hyperlink r:id="rId742" ref="J372"/>
    <hyperlink r:id="rId743" ref="B373"/>
    <hyperlink r:id="rId744" ref="J373"/>
    <hyperlink r:id="rId745" ref="B374"/>
    <hyperlink r:id="rId746" ref="J374"/>
    <hyperlink r:id="rId747" ref="B375"/>
    <hyperlink r:id="rId748" ref="J375"/>
    <hyperlink r:id="rId749" ref="B376"/>
    <hyperlink r:id="rId750" ref="J376"/>
    <hyperlink r:id="rId751" ref="B377"/>
    <hyperlink r:id="rId752" ref="J377"/>
    <hyperlink r:id="rId753" ref="B378"/>
    <hyperlink r:id="rId754" ref="J378"/>
    <hyperlink r:id="rId755" ref="B379"/>
    <hyperlink r:id="rId756" ref="J379"/>
    <hyperlink r:id="rId757" ref="B380"/>
    <hyperlink r:id="rId758" ref="J380"/>
    <hyperlink r:id="rId759" ref="B381"/>
    <hyperlink r:id="rId760" ref="J381"/>
    <hyperlink r:id="rId761" ref="B382"/>
    <hyperlink r:id="rId762" ref="J382"/>
    <hyperlink r:id="rId763" ref="B383"/>
    <hyperlink r:id="rId764" ref="J383"/>
    <hyperlink r:id="rId765" ref="B384"/>
    <hyperlink r:id="rId766" ref="J384"/>
    <hyperlink r:id="rId767" ref="B385"/>
    <hyperlink r:id="rId768" ref="J385"/>
    <hyperlink r:id="rId769" ref="B386"/>
    <hyperlink r:id="rId770" ref="J386"/>
    <hyperlink r:id="rId771" ref="B387"/>
    <hyperlink r:id="rId772" ref="J387"/>
    <hyperlink r:id="rId773" ref="B388"/>
    <hyperlink r:id="rId774" ref="J388"/>
    <hyperlink r:id="rId775" ref="B389"/>
    <hyperlink r:id="rId776" ref="J389"/>
    <hyperlink r:id="rId777" ref="B390"/>
    <hyperlink r:id="rId778" ref="J390"/>
    <hyperlink r:id="rId779" ref="B391"/>
    <hyperlink r:id="rId780" ref="J391"/>
    <hyperlink r:id="rId781" ref="B392"/>
    <hyperlink r:id="rId782" ref="J392"/>
    <hyperlink r:id="rId783" ref="B393"/>
    <hyperlink r:id="rId784" ref="J393"/>
    <hyperlink r:id="rId785" ref="B394"/>
    <hyperlink r:id="rId786" ref="J394"/>
    <hyperlink r:id="rId787" ref="B395"/>
    <hyperlink r:id="rId788" ref="J395"/>
    <hyperlink r:id="rId789" ref="B396"/>
    <hyperlink r:id="rId790" ref="J396"/>
    <hyperlink r:id="rId791" ref="B397"/>
    <hyperlink r:id="rId792" ref="J397"/>
    <hyperlink r:id="rId793" ref="B398"/>
    <hyperlink r:id="rId794" ref="J398"/>
    <hyperlink r:id="rId795" ref="B399"/>
    <hyperlink r:id="rId796" ref="J399"/>
    <hyperlink r:id="rId797" ref="B400"/>
    <hyperlink r:id="rId798" ref="J400"/>
    <hyperlink r:id="rId799" ref="B401"/>
    <hyperlink r:id="rId800" ref="J401"/>
    <hyperlink r:id="rId801" ref="B402"/>
    <hyperlink r:id="rId802" ref="J402"/>
    <hyperlink r:id="rId803" ref="B403"/>
    <hyperlink r:id="rId804" ref="J403"/>
    <hyperlink r:id="rId805" ref="B404"/>
    <hyperlink r:id="rId806" ref="J404"/>
    <hyperlink r:id="rId807" ref="B405"/>
    <hyperlink r:id="rId808" ref="J405"/>
    <hyperlink r:id="rId809" ref="B406"/>
    <hyperlink r:id="rId810" ref="J406"/>
    <hyperlink r:id="rId811" ref="B407"/>
    <hyperlink r:id="rId812" ref="J407"/>
    <hyperlink r:id="rId813" ref="B408"/>
    <hyperlink r:id="rId814" ref="J408"/>
    <hyperlink r:id="rId815" ref="B409"/>
    <hyperlink r:id="rId816" ref="J409"/>
    <hyperlink r:id="rId817" ref="B410"/>
    <hyperlink r:id="rId818" ref="J410"/>
    <hyperlink r:id="rId819" ref="B411"/>
    <hyperlink r:id="rId820" ref="J411"/>
    <hyperlink r:id="rId821" ref="B412"/>
    <hyperlink r:id="rId822" ref="J412"/>
    <hyperlink r:id="rId823" ref="B413"/>
    <hyperlink r:id="rId824" ref="J413"/>
    <hyperlink r:id="rId825" ref="B414"/>
    <hyperlink r:id="rId826" ref="J414"/>
    <hyperlink r:id="rId827" ref="B415"/>
    <hyperlink r:id="rId828" ref="J415"/>
    <hyperlink r:id="rId829" ref="B416"/>
    <hyperlink r:id="rId830" ref="J416"/>
    <hyperlink r:id="rId831" ref="B417"/>
    <hyperlink r:id="rId832" ref="J417"/>
    <hyperlink r:id="rId833" ref="B418"/>
    <hyperlink r:id="rId834" ref="J418"/>
    <hyperlink r:id="rId835" ref="B419"/>
    <hyperlink r:id="rId836" ref="J419"/>
    <hyperlink r:id="rId837" ref="B420"/>
    <hyperlink r:id="rId838" ref="J420"/>
    <hyperlink r:id="rId839" ref="B421"/>
    <hyperlink r:id="rId840" ref="J421"/>
    <hyperlink r:id="rId841" ref="B422"/>
    <hyperlink r:id="rId842" ref="J422"/>
    <hyperlink r:id="rId843" ref="B423"/>
    <hyperlink r:id="rId844" ref="J423"/>
    <hyperlink r:id="rId845" ref="B424"/>
    <hyperlink r:id="rId846" ref="J424"/>
    <hyperlink r:id="rId847" ref="B425"/>
    <hyperlink r:id="rId848" ref="J425"/>
    <hyperlink r:id="rId849" ref="B426"/>
    <hyperlink r:id="rId850" ref="J426"/>
    <hyperlink r:id="rId851" ref="B427"/>
    <hyperlink r:id="rId852" ref="J427"/>
    <hyperlink r:id="rId853" ref="B428"/>
    <hyperlink r:id="rId854" ref="J428"/>
    <hyperlink r:id="rId855" ref="B429"/>
    <hyperlink r:id="rId856" ref="J429"/>
    <hyperlink r:id="rId857" ref="B430"/>
    <hyperlink r:id="rId858" ref="J430"/>
    <hyperlink r:id="rId859" ref="B431"/>
    <hyperlink r:id="rId860" ref="J431"/>
    <hyperlink r:id="rId861" ref="B432"/>
    <hyperlink r:id="rId862" ref="J432"/>
    <hyperlink r:id="rId863" ref="B433"/>
    <hyperlink r:id="rId864" ref="J433"/>
    <hyperlink r:id="rId865" ref="B434"/>
    <hyperlink r:id="rId866" ref="J434"/>
    <hyperlink r:id="rId867" ref="B435"/>
    <hyperlink r:id="rId868" ref="J435"/>
    <hyperlink r:id="rId869" ref="B436"/>
    <hyperlink r:id="rId870" ref="J436"/>
    <hyperlink r:id="rId871" ref="B437"/>
    <hyperlink r:id="rId872" ref="J437"/>
    <hyperlink r:id="rId873" ref="B438"/>
    <hyperlink r:id="rId874" ref="J438"/>
    <hyperlink r:id="rId875" ref="B439"/>
    <hyperlink r:id="rId876" ref="J439"/>
    <hyperlink r:id="rId877" ref="B440"/>
    <hyperlink r:id="rId878" ref="J440"/>
    <hyperlink r:id="rId879" ref="B441"/>
    <hyperlink r:id="rId880" ref="J441"/>
    <hyperlink r:id="rId881" ref="B442"/>
    <hyperlink r:id="rId882" ref="J442"/>
    <hyperlink r:id="rId883" ref="B443"/>
    <hyperlink r:id="rId884" ref="J443"/>
    <hyperlink r:id="rId885" ref="B444"/>
    <hyperlink r:id="rId886" ref="J444"/>
    <hyperlink r:id="rId887" ref="B445"/>
    <hyperlink r:id="rId888" ref="J445"/>
    <hyperlink r:id="rId889" ref="B446"/>
    <hyperlink r:id="rId890" ref="J446"/>
    <hyperlink r:id="rId891" ref="B447"/>
    <hyperlink r:id="rId892" ref="J447"/>
    <hyperlink r:id="rId893" ref="B448"/>
    <hyperlink r:id="rId894" ref="J448"/>
    <hyperlink r:id="rId895" ref="B449"/>
    <hyperlink r:id="rId896" ref="J449"/>
    <hyperlink r:id="rId897" ref="B450"/>
    <hyperlink r:id="rId898" ref="J450"/>
    <hyperlink r:id="rId899" ref="B451"/>
    <hyperlink r:id="rId900" ref="J451"/>
    <hyperlink r:id="rId901" ref="B452"/>
    <hyperlink r:id="rId902" ref="J452"/>
    <hyperlink r:id="rId903" ref="B453"/>
    <hyperlink r:id="rId904" ref="J453"/>
    <hyperlink r:id="rId905" ref="B454"/>
    <hyperlink r:id="rId906" ref="J454"/>
    <hyperlink r:id="rId907" ref="B455"/>
    <hyperlink r:id="rId908" ref="J455"/>
    <hyperlink r:id="rId909" ref="B456"/>
    <hyperlink r:id="rId910" ref="J456"/>
    <hyperlink r:id="rId911" ref="B457"/>
    <hyperlink r:id="rId912" ref="J457"/>
    <hyperlink r:id="rId913" ref="B458"/>
    <hyperlink r:id="rId914" ref="J458"/>
    <hyperlink r:id="rId915" ref="B459"/>
    <hyperlink r:id="rId916" ref="J459"/>
    <hyperlink r:id="rId917" ref="B460"/>
    <hyperlink r:id="rId918" ref="J460"/>
    <hyperlink r:id="rId919" ref="B461"/>
    <hyperlink r:id="rId920" ref="J461"/>
    <hyperlink r:id="rId921" ref="B462"/>
    <hyperlink r:id="rId922" ref="J462"/>
    <hyperlink r:id="rId923" ref="B463"/>
    <hyperlink r:id="rId924" ref="J463"/>
    <hyperlink r:id="rId925" ref="B464"/>
    <hyperlink r:id="rId926" ref="J464"/>
    <hyperlink r:id="rId927" ref="B465"/>
    <hyperlink r:id="rId928" ref="J465"/>
    <hyperlink r:id="rId929" ref="B466"/>
    <hyperlink r:id="rId930" ref="J466"/>
    <hyperlink r:id="rId931" ref="B467"/>
    <hyperlink r:id="rId932" ref="J467"/>
    <hyperlink r:id="rId933" ref="B468"/>
    <hyperlink r:id="rId934" ref="J468"/>
    <hyperlink r:id="rId935" ref="B469"/>
    <hyperlink r:id="rId936" ref="J469"/>
    <hyperlink r:id="rId937" ref="B470"/>
    <hyperlink r:id="rId938" ref="J470"/>
    <hyperlink r:id="rId939" ref="B471"/>
    <hyperlink r:id="rId940" ref="J471"/>
    <hyperlink r:id="rId941" ref="B472"/>
    <hyperlink r:id="rId942" ref="J472"/>
    <hyperlink r:id="rId943" ref="B473"/>
    <hyperlink r:id="rId944" ref="J473"/>
    <hyperlink r:id="rId945" ref="B474"/>
    <hyperlink r:id="rId946" ref="J474"/>
    <hyperlink r:id="rId947" ref="B475"/>
    <hyperlink r:id="rId948" ref="J475"/>
    <hyperlink r:id="rId949" ref="B476"/>
    <hyperlink r:id="rId950" ref="J476"/>
    <hyperlink r:id="rId951" ref="B477"/>
    <hyperlink r:id="rId952" ref="J477"/>
    <hyperlink r:id="rId953" ref="B478"/>
    <hyperlink r:id="rId954" ref="J478"/>
    <hyperlink r:id="rId955" ref="B479"/>
    <hyperlink r:id="rId956" ref="J479"/>
    <hyperlink r:id="rId957" ref="B480"/>
    <hyperlink r:id="rId958" ref="J480"/>
    <hyperlink r:id="rId959" ref="B481"/>
    <hyperlink r:id="rId960" ref="J481"/>
    <hyperlink r:id="rId961" ref="B482"/>
    <hyperlink r:id="rId962" ref="J482"/>
    <hyperlink r:id="rId963" ref="B483"/>
    <hyperlink r:id="rId964" ref="J483"/>
    <hyperlink r:id="rId965" ref="B484"/>
    <hyperlink r:id="rId966" ref="J484"/>
    <hyperlink r:id="rId967" ref="B485"/>
    <hyperlink r:id="rId968" ref="J485"/>
    <hyperlink r:id="rId969" ref="B486"/>
    <hyperlink r:id="rId970" ref="J486"/>
    <hyperlink r:id="rId971" ref="B487"/>
    <hyperlink r:id="rId972" ref="J487"/>
    <hyperlink r:id="rId973" ref="B488"/>
    <hyperlink r:id="rId974" ref="J488"/>
    <hyperlink r:id="rId975" ref="B489"/>
    <hyperlink r:id="rId976" ref="J489"/>
    <hyperlink r:id="rId977" ref="B490"/>
    <hyperlink r:id="rId978" ref="J490"/>
    <hyperlink r:id="rId979" ref="B491"/>
    <hyperlink r:id="rId980" ref="J491"/>
    <hyperlink r:id="rId981" ref="B492"/>
    <hyperlink r:id="rId982" ref="J492"/>
    <hyperlink r:id="rId983" ref="B493"/>
    <hyperlink r:id="rId984" ref="J493"/>
    <hyperlink r:id="rId985" ref="B494"/>
    <hyperlink r:id="rId986" ref="J494"/>
    <hyperlink r:id="rId987" ref="B495"/>
    <hyperlink r:id="rId988" ref="J495"/>
    <hyperlink r:id="rId989" ref="B496"/>
    <hyperlink r:id="rId990" ref="J496"/>
    <hyperlink r:id="rId991" ref="B497"/>
    <hyperlink r:id="rId992" ref="J497"/>
    <hyperlink r:id="rId993" ref="B498"/>
    <hyperlink r:id="rId994" ref="J498"/>
    <hyperlink r:id="rId995" ref="B499"/>
    <hyperlink r:id="rId996" ref="J499"/>
    <hyperlink r:id="rId997" ref="B500"/>
    <hyperlink r:id="rId998" ref="J500"/>
    <hyperlink r:id="rId999" ref="B501"/>
    <hyperlink r:id="rId1000" ref="J501"/>
    <hyperlink r:id="rId1001" ref="B502"/>
    <hyperlink r:id="rId1002" ref="J502"/>
    <hyperlink r:id="rId1003" ref="B503"/>
    <hyperlink r:id="rId1004" ref="J503"/>
    <hyperlink r:id="rId1005" ref="B504"/>
    <hyperlink r:id="rId1006" ref="J504"/>
    <hyperlink r:id="rId1007" ref="B505"/>
    <hyperlink r:id="rId1008" ref="J505"/>
    <hyperlink r:id="rId1009" ref="B506"/>
    <hyperlink r:id="rId1010" ref="J506"/>
    <hyperlink r:id="rId1011" ref="B507"/>
    <hyperlink r:id="rId1012" ref="J507"/>
    <hyperlink r:id="rId1013" ref="B508"/>
    <hyperlink r:id="rId1014" ref="J508"/>
    <hyperlink r:id="rId1015" ref="B509"/>
    <hyperlink r:id="rId1016" ref="J509"/>
    <hyperlink r:id="rId1017" ref="B510"/>
    <hyperlink r:id="rId1018" ref="J510"/>
    <hyperlink r:id="rId1019" ref="B511"/>
    <hyperlink r:id="rId1020" ref="J511"/>
    <hyperlink r:id="rId1021" ref="B512"/>
    <hyperlink r:id="rId1022" ref="J512"/>
    <hyperlink r:id="rId1023" ref="B513"/>
    <hyperlink r:id="rId1024" ref="J513"/>
    <hyperlink r:id="rId1025" ref="B514"/>
    <hyperlink r:id="rId1026" ref="J514"/>
    <hyperlink r:id="rId1027" ref="B515"/>
    <hyperlink r:id="rId1028" ref="J515"/>
    <hyperlink r:id="rId1029" ref="B516"/>
    <hyperlink r:id="rId1030" ref="J516"/>
    <hyperlink r:id="rId1031" ref="B517"/>
    <hyperlink r:id="rId1032" ref="J517"/>
    <hyperlink r:id="rId1033" ref="B518"/>
    <hyperlink r:id="rId1034" ref="J518"/>
    <hyperlink r:id="rId1035" ref="B519"/>
    <hyperlink r:id="rId1036" ref="J519"/>
    <hyperlink r:id="rId1037" ref="B520"/>
    <hyperlink r:id="rId1038" ref="J520"/>
    <hyperlink r:id="rId1039" ref="B521"/>
    <hyperlink r:id="rId1040" ref="J521"/>
    <hyperlink r:id="rId1041" ref="B522"/>
    <hyperlink r:id="rId1042" ref="J522"/>
    <hyperlink r:id="rId1043" ref="B523"/>
    <hyperlink r:id="rId1044" ref="J523"/>
    <hyperlink r:id="rId1045" ref="B524"/>
    <hyperlink r:id="rId1046" ref="J524"/>
    <hyperlink r:id="rId1047" ref="B525"/>
    <hyperlink r:id="rId1048" ref="J525"/>
    <hyperlink r:id="rId1049" ref="B526"/>
    <hyperlink r:id="rId1050" ref="J526"/>
    <hyperlink r:id="rId1051" ref="B527"/>
    <hyperlink r:id="rId1052" ref="J527"/>
    <hyperlink r:id="rId1053" ref="B528"/>
    <hyperlink r:id="rId1054" ref="J528"/>
    <hyperlink r:id="rId1055" ref="B529"/>
    <hyperlink r:id="rId1056" ref="J529"/>
    <hyperlink r:id="rId1057" ref="B530"/>
    <hyperlink r:id="rId1058" ref="J530"/>
    <hyperlink r:id="rId1059" ref="B531"/>
    <hyperlink r:id="rId1060" ref="J531"/>
    <hyperlink r:id="rId1061" ref="B532"/>
    <hyperlink r:id="rId1062" ref="J532"/>
    <hyperlink r:id="rId1063" ref="B533"/>
    <hyperlink r:id="rId1064" ref="J533"/>
    <hyperlink r:id="rId1065" ref="B534"/>
    <hyperlink r:id="rId1066" ref="J534"/>
    <hyperlink r:id="rId1067" ref="B535"/>
    <hyperlink r:id="rId1068" ref="J535"/>
    <hyperlink r:id="rId1069" ref="B536"/>
    <hyperlink r:id="rId1070" ref="J536"/>
    <hyperlink r:id="rId1071" ref="B537"/>
    <hyperlink r:id="rId1072" ref="J537"/>
    <hyperlink r:id="rId1073" ref="B538"/>
    <hyperlink r:id="rId1074" ref="J538"/>
    <hyperlink r:id="rId1075" ref="B539"/>
    <hyperlink r:id="rId1076" ref="J539"/>
    <hyperlink r:id="rId1077" ref="B540"/>
    <hyperlink r:id="rId1078" ref="J540"/>
    <hyperlink r:id="rId1079" ref="B541"/>
    <hyperlink r:id="rId1080" ref="J541"/>
    <hyperlink r:id="rId1081" ref="B542"/>
    <hyperlink r:id="rId1082" ref="J542"/>
    <hyperlink r:id="rId1083" ref="B543"/>
    <hyperlink r:id="rId1084" ref="J543"/>
    <hyperlink r:id="rId1085" ref="B544"/>
    <hyperlink r:id="rId1086" ref="J544"/>
    <hyperlink r:id="rId1087" ref="B545"/>
    <hyperlink r:id="rId1088" ref="J545"/>
    <hyperlink r:id="rId1089" ref="B546"/>
    <hyperlink r:id="rId1090" ref="J546"/>
    <hyperlink r:id="rId1091" ref="B547"/>
    <hyperlink r:id="rId1092" ref="J547"/>
    <hyperlink r:id="rId1093" ref="B548"/>
    <hyperlink r:id="rId1094" ref="J548"/>
    <hyperlink r:id="rId1095" ref="B549"/>
    <hyperlink r:id="rId1096" ref="J549"/>
    <hyperlink r:id="rId1097" ref="B550"/>
    <hyperlink r:id="rId1098" ref="J550"/>
    <hyperlink r:id="rId1099" ref="B551"/>
    <hyperlink r:id="rId1100" ref="J551"/>
    <hyperlink r:id="rId1101" ref="B552"/>
    <hyperlink r:id="rId1102" ref="J552"/>
    <hyperlink r:id="rId1103" ref="B553"/>
    <hyperlink r:id="rId1104" ref="J553"/>
    <hyperlink r:id="rId1105" ref="B554"/>
    <hyperlink r:id="rId1106" ref="J554"/>
    <hyperlink r:id="rId1107" ref="B555"/>
    <hyperlink r:id="rId1108" ref="J555"/>
    <hyperlink r:id="rId1109" ref="B556"/>
    <hyperlink r:id="rId1110" ref="J556"/>
    <hyperlink r:id="rId1111" ref="B557"/>
    <hyperlink r:id="rId1112" ref="J557"/>
    <hyperlink r:id="rId1113" ref="B558"/>
    <hyperlink r:id="rId1114" ref="J558"/>
    <hyperlink r:id="rId1115" ref="B559"/>
    <hyperlink r:id="rId1116" ref="J559"/>
    <hyperlink r:id="rId1117" ref="B560"/>
    <hyperlink r:id="rId1118" ref="J560"/>
    <hyperlink r:id="rId1119" ref="B561"/>
    <hyperlink r:id="rId1120" ref="J561"/>
    <hyperlink r:id="rId1121" ref="B562"/>
    <hyperlink r:id="rId1122" ref="J562"/>
    <hyperlink r:id="rId1123" ref="B563"/>
    <hyperlink r:id="rId1124" ref="J563"/>
    <hyperlink r:id="rId1125" ref="B564"/>
    <hyperlink r:id="rId1126" ref="J564"/>
    <hyperlink r:id="rId1127" ref="B565"/>
    <hyperlink r:id="rId1128" ref="J565"/>
    <hyperlink r:id="rId1129" ref="B566"/>
    <hyperlink r:id="rId1130" ref="J566"/>
    <hyperlink r:id="rId1131" ref="B567"/>
    <hyperlink r:id="rId1132" ref="J567"/>
    <hyperlink r:id="rId1133" ref="B568"/>
    <hyperlink r:id="rId1134" ref="J568"/>
    <hyperlink r:id="rId1135" ref="B569"/>
    <hyperlink r:id="rId1136" ref="J569"/>
    <hyperlink r:id="rId1137" ref="B570"/>
    <hyperlink r:id="rId1138" ref="J570"/>
    <hyperlink r:id="rId1139" ref="B571"/>
    <hyperlink r:id="rId1140" ref="J571"/>
    <hyperlink r:id="rId1141" ref="B572"/>
    <hyperlink r:id="rId1142" ref="J572"/>
    <hyperlink r:id="rId1143" ref="B573"/>
    <hyperlink r:id="rId1144" ref="J573"/>
    <hyperlink r:id="rId1145" ref="B574"/>
    <hyperlink r:id="rId1146" ref="J574"/>
    <hyperlink r:id="rId1147" ref="B575"/>
    <hyperlink r:id="rId1148" ref="J575"/>
    <hyperlink r:id="rId1149" ref="B576"/>
    <hyperlink r:id="rId1150" ref="J576"/>
    <hyperlink r:id="rId1151" ref="B577"/>
    <hyperlink r:id="rId1152" ref="J577"/>
    <hyperlink r:id="rId1153" ref="B578"/>
    <hyperlink r:id="rId1154" ref="J578"/>
    <hyperlink r:id="rId1155" ref="B579"/>
    <hyperlink r:id="rId1156" ref="J579"/>
    <hyperlink r:id="rId1157" ref="B580"/>
    <hyperlink r:id="rId1158" ref="J580"/>
    <hyperlink r:id="rId1159" ref="B581"/>
    <hyperlink r:id="rId1160" ref="J581"/>
    <hyperlink r:id="rId1161" ref="B582"/>
    <hyperlink r:id="rId1162" ref="J582"/>
    <hyperlink r:id="rId1163" ref="B583"/>
    <hyperlink r:id="rId1164" ref="J583"/>
    <hyperlink r:id="rId1165" ref="B584"/>
    <hyperlink r:id="rId1166" ref="J584"/>
  </hyperlinks>
  <drawing r:id="rId11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13"/>
    <col customWidth="1" min="3" max="3" width="12.13"/>
    <col customWidth="1" min="4" max="5" width="16.63"/>
  </cols>
  <sheetData>
    <row r="1">
      <c r="E1" s="13" t="s">
        <v>2931</v>
      </c>
    </row>
    <row r="2">
      <c r="E2" s="6">
        <f t="shared" ref="E2:E212" si="1">(B3-B2)/B2</f>
        <v>-0.4864044283</v>
      </c>
    </row>
    <row r="3">
      <c r="E3" s="6">
        <f t="shared" si="1"/>
        <v>-0.1721696059</v>
      </c>
    </row>
    <row r="4">
      <c r="E4" s="6">
        <f t="shared" si="1"/>
        <v>-0.345761234</v>
      </c>
    </row>
    <row r="5">
      <c r="E5" s="6">
        <f t="shared" si="1"/>
        <v>0.123190404</v>
      </c>
    </row>
    <row r="6">
      <c r="E6" s="6">
        <f t="shared" si="1"/>
        <v>0.3817385789</v>
      </c>
    </row>
    <row r="7">
      <c r="E7" s="6">
        <f t="shared" si="1"/>
        <v>-0.8541561787</v>
      </c>
    </row>
    <row r="8">
      <c r="E8" s="6">
        <f t="shared" si="1"/>
        <v>0.243857868</v>
      </c>
    </row>
    <row r="9">
      <c r="E9" s="6">
        <f t="shared" si="1"/>
        <v>-0.5931276526</v>
      </c>
    </row>
    <row r="10">
      <c r="E10" s="6">
        <f t="shared" si="1"/>
        <v>2.285857573</v>
      </c>
    </row>
    <row r="11">
      <c r="E11" s="6">
        <f t="shared" si="1"/>
        <v>-0.8807081807</v>
      </c>
    </row>
    <row r="12">
      <c r="E12" s="6">
        <f t="shared" si="1"/>
        <v>10.48362334</v>
      </c>
    </row>
    <row r="13">
      <c r="E13" s="6">
        <f t="shared" si="1"/>
        <v>-0.7494540755</v>
      </c>
    </row>
    <row r="14">
      <c r="E14" s="6">
        <f t="shared" si="1"/>
        <v>7.52828175</v>
      </c>
    </row>
    <row r="15">
      <c r="E15" s="6">
        <f t="shared" si="1"/>
        <v>-0.7168064072</v>
      </c>
    </row>
    <row r="16">
      <c r="E16" s="6">
        <f t="shared" si="1"/>
        <v>-0.03277360436</v>
      </c>
    </row>
    <row r="17">
      <c r="E17" s="6">
        <f t="shared" si="1"/>
        <v>18.17117186</v>
      </c>
    </row>
    <row r="18">
      <c r="E18" s="6">
        <f t="shared" si="1"/>
        <v>-0.9286386655</v>
      </c>
    </row>
    <row r="19">
      <c r="E19" s="6">
        <f t="shared" si="1"/>
        <v>-0.8114320699</v>
      </c>
    </row>
    <row r="20">
      <c r="E20" s="6">
        <f t="shared" si="1"/>
        <v>3.793978749</v>
      </c>
    </row>
    <row r="21">
      <c r="E21" s="6">
        <f t="shared" si="1"/>
        <v>-0.8168944711</v>
      </c>
    </row>
    <row r="22">
      <c r="E22" s="6">
        <f t="shared" si="1"/>
        <v>14.12172159</v>
      </c>
    </row>
    <row r="23">
      <c r="E23" s="6">
        <f t="shared" si="1"/>
        <v>0.6039535711</v>
      </c>
    </row>
    <row r="24">
      <c r="E24" s="6">
        <f t="shared" si="1"/>
        <v>-0.8015887319</v>
      </c>
    </row>
    <row r="25">
      <c r="E25" s="6">
        <f t="shared" si="1"/>
        <v>27.21066238</v>
      </c>
    </row>
    <row r="26">
      <c r="E26" s="6">
        <f t="shared" si="1"/>
        <v>-0.5920208247</v>
      </c>
    </row>
    <row r="27">
      <c r="E27" s="6">
        <f t="shared" si="1"/>
        <v>0.01133424801</v>
      </c>
    </row>
    <row r="28">
      <c r="E28" s="6">
        <f t="shared" si="1"/>
        <v>-0.6211514566</v>
      </c>
    </row>
    <row r="29">
      <c r="E29" s="6">
        <f t="shared" si="1"/>
        <v>2.010219926</v>
      </c>
    </row>
    <row r="30">
      <c r="E30" s="6">
        <f t="shared" si="1"/>
        <v>-0.1969144283</v>
      </c>
    </row>
    <row r="31">
      <c r="E31" s="6">
        <f t="shared" si="1"/>
        <v>-0.4315761187</v>
      </c>
    </row>
    <row r="32">
      <c r="E32" s="6">
        <f t="shared" si="1"/>
        <v>0.04274430672</v>
      </c>
    </row>
    <row r="33">
      <c r="E33" s="6">
        <f t="shared" si="1"/>
        <v>0.4135040694</v>
      </c>
    </row>
    <row r="34">
      <c r="E34" s="6">
        <f t="shared" si="1"/>
        <v>-0.3369267598</v>
      </c>
    </row>
    <row r="35">
      <c r="E35" s="6">
        <f t="shared" si="1"/>
        <v>2.103294084</v>
      </c>
    </row>
    <row r="36">
      <c r="E36" s="6">
        <f t="shared" si="1"/>
        <v>-0.8535598736</v>
      </c>
    </row>
    <row r="37">
      <c r="E37" s="6">
        <f t="shared" si="1"/>
        <v>-0.04828911158</v>
      </c>
    </row>
    <row r="38">
      <c r="E38" s="6">
        <f t="shared" si="1"/>
        <v>1.094658738</v>
      </c>
    </row>
    <row r="39">
      <c r="E39" s="6">
        <f t="shared" si="1"/>
        <v>0.3599744745</v>
      </c>
    </row>
    <row r="40">
      <c r="E40" s="6">
        <f t="shared" si="1"/>
        <v>-0.1112930564</v>
      </c>
    </row>
    <row r="41">
      <c r="E41" s="6">
        <f t="shared" si="1"/>
        <v>0.01811324821</v>
      </c>
    </row>
    <row r="42">
      <c r="E42" s="6">
        <f t="shared" si="1"/>
        <v>0.07483648371</v>
      </c>
    </row>
    <row r="43">
      <c r="E43" s="6">
        <f t="shared" si="1"/>
        <v>0.1883277371</v>
      </c>
    </row>
    <row r="44">
      <c r="E44" s="6">
        <f t="shared" si="1"/>
        <v>-0.4825451803</v>
      </c>
    </row>
    <row r="45">
      <c r="E45" s="6">
        <f t="shared" si="1"/>
        <v>1.274948757</v>
      </c>
    </row>
    <row r="46">
      <c r="E46" s="6">
        <f t="shared" si="1"/>
        <v>-0.6392099447</v>
      </c>
    </row>
    <row r="47">
      <c r="E47" s="6">
        <f t="shared" si="1"/>
        <v>0.5110816295</v>
      </c>
    </row>
    <row r="48">
      <c r="E48" s="6">
        <f t="shared" si="1"/>
        <v>0.3915586428</v>
      </c>
    </row>
    <row r="49">
      <c r="E49" s="6">
        <f t="shared" si="1"/>
        <v>0.3172788762</v>
      </c>
    </row>
    <row r="50">
      <c r="E50" s="6">
        <f t="shared" si="1"/>
        <v>-0.7050466631</v>
      </c>
    </row>
    <row r="51">
      <c r="E51" s="6">
        <f t="shared" si="1"/>
        <v>2.383298309</v>
      </c>
    </row>
    <row r="52">
      <c r="E52" s="6">
        <f t="shared" si="1"/>
        <v>0.1704063411</v>
      </c>
    </row>
    <row r="53">
      <c r="E53" s="6">
        <f t="shared" si="1"/>
        <v>-0.6512585785</v>
      </c>
    </row>
    <row r="54">
      <c r="E54" s="6">
        <f t="shared" si="1"/>
        <v>0.1614069066</v>
      </c>
    </row>
    <row r="55">
      <c r="E55" s="6">
        <f t="shared" si="1"/>
        <v>0.3330554025</v>
      </c>
    </row>
    <row r="56">
      <c r="E56" s="6">
        <f t="shared" si="1"/>
        <v>0.4917236295</v>
      </c>
    </row>
    <row r="57">
      <c r="E57" s="6">
        <f t="shared" si="1"/>
        <v>-0.04788217765</v>
      </c>
    </row>
    <row r="58">
      <c r="E58" s="6">
        <f t="shared" si="1"/>
        <v>-0.4304194649</v>
      </c>
    </row>
    <row r="59">
      <c r="E59" s="6">
        <f t="shared" si="1"/>
        <v>0.8538706872</v>
      </c>
    </row>
    <row r="60">
      <c r="E60" s="6">
        <f t="shared" si="1"/>
        <v>-0.2367844855</v>
      </c>
    </row>
    <row r="61">
      <c r="E61" s="6">
        <f t="shared" si="1"/>
        <v>3.112529274</v>
      </c>
    </row>
    <row r="62">
      <c r="E62" s="6">
        <f t="shared" si="1"/>
        <v>-0.9384674886</v>
      </c>
    </row>
    <row r="63">
      <c r="E63" s="6">
        <f t="shared" si="1"/>
        <v>2.203678711</v>
      </c>
    </row>
    <row r="64">
      <c r="E64" s="6">
        <f t="shared" si="1"/>
        <v>0.7642782345</v>
      </c>
    </row>
    <row r="65">
      <c r="E65" s="6">
        <f t="shared" si="1"/>
        <v>-0.8305953144</v>
      </c>
    </row>
    <row r="66">
      <c r="E66" s="6">
        <f t="shared" si="1"/>
        <v>-0.2755023962</v>
      </c>
    </row>
    <row r="67">
      <c r="E67" s="6">
        <f t="shared" si="1"/>
        <v>11.2958866</v>
      </c>
    </row>
    <row r="68">
      <c r="E68" s="6">
        <f t="shared" si="1"/>
        <v>-0.7539499916</v>
      </c>
    </row>
    <row r="69">
      <c r="E69" s="6">
        <f t="shared" si="1"/>
        <v>-0.3069064986</v>
      </c>
    </row>
    <row r="70">
      <c r="E70" s="6">
        <f t="shared" si="1"/>
        <v>0.6599422103</v>
      </c>
    </row>
    <row r="71">
      <c r="E71" s="6">
        <f t="shared" si="1"/>
        <v>1.764875914</v>
      </c>
    </row>
    <row r="72">
      <c r="E72" s="6">
        <f t="shared" si="1"/>
        <v>-0.8369327272</v>
      </c>
    </row>
    <row r="73">
      <c r="E73" s="6">
        <f t="shared" si="1"/>
        <v>2.749291584</v>
      </c>
    </row>
    <row r="74">
      <c r="E74" s="6">
        <f t="shared" si="1"/>
        <v>0.7097779877</v>
      </c>
    </row>
    <row r="75">
      <c r="E75" s="6">
        <f t="shared" si="1"/>
        <v>0.3892474307</v>
      </c>
    </row>
    <row r="76">
      <c r="E76" s="6">
        <f t="shared" si="1"/>
        <v>0.5974561103</v>
      </c>
    </row>
    <row r="77">
      <c r="E77" s="6">
        <f t="shared" si="1"/>
        <v>-0.7064923489</v>
      </c>
    </row>
    <row r="78">
      <c r="E78" s="6">
        <f t="shared" si="1"/>
        <v>-0.4468677101</v>
      </c>
    </row>
    <row r="79">
      <c r="E79" s="6">
        <f t="shared" si="1"/>
        <v>2.595850075</v>
      </c>
    </row>
    <row r="80">
      <c r="E80" s="6">
        <f t="shared" si="1"/>
        <v>-0.5791888976</v>
      </c>
    </row>
    <row r="81">
      <c r="E81" s="6">
        <f t="shared" si="1"/>
        <v>-0.7877934082</v>
      </c>
    </row>
    <row r="82">
      <c r="E82" s="6">
        <f t="shared" si="1"/>
        <v>1.065956634</v>
      </c>
    </row>
    <row r="83">
      <c r="E83" s="6">
        <f t="shared" si="1"/>
        <v>0.9014032411</v>
      </c>
    </row>
    <row r="84">
      <c r="E84" s="6">
        <f t="shared" si="1"/>
        <v>-0.169825773</v>
      </c>
    </row>
    <row r="85">
      <c r="E85" s="6">
        <f t="shared" si="1"/>
        <v>0.4170120531</v>
      </c>
    </row>
    <row r="86">
      <c r="E86" s="6">
        <f t="shared" si="1"/>
        <v>-0.6871582864</v>
      </c>
    </row>
    <row r="87">
      <c r="E87" s="6">
        <f t="shared" si="1"/>
        <v>1.044401863</v>
      </c>
    </row>
    <row r="88">
      <c r="E88" s="6">
        <f t="shared" si="1"/>
        <v>-0.006787110953</v>
      </c>
    </row>
    <row r="89">
      <c r="E89" s="6">
        <f t="shared" si="1"/>
        <v>0.9690703199</v>
      </c>
    </row>
    <row r="90">
      <c r="E90" s="6">
        <f t="shared" si="1"/>
        <v>-0.6673607496</v>
      </c>
    </row>
    <row r="91">
      <c r="E91" s="6">
        <f t="shared" si="1"/>
        <v>2.76053854</v>
      </c>
    </row>
    <row r="92">
      <c r="E92" s="6">
        <f t="shared" si="1"/>
        <v>-0.2497489894</v>
      </c>
    </row>
    <row r="93">
      <c r="E93" s="6">
        <f t="shared" si="1"/>
        <v>0.1562524763</v>
      </c>
    </row>
    <row r="94">
      <c r="E94" s="6">
        <f t="shared" si="1"/>
        <v>0.09592159968</v>
      </c>
    </row>
    <row r="95">
      <c r="E95" s="6">
        <f t="shared" si="1"/>
        <v>-0.1074185502</v>
      </c>
    </row>
    <row r="96">
      <c r="E96" s="6">
        <f t="shared" si="1"/>
        <v>-0.5149420456</v>
      </c>
    </row>
    <row r="97">
      <c r="E97" s="6">
        <f t="shared" si="1"/>
        <v>-0.6657305174</v>
      </c>
    </row>
    <row r="98">
      <c r="E98" s="6">
        <f t="shared" si="1"/>
        <v>0.6272024581</v>
      </c>
    </row>
    <row r="99">
      <c r="E99" s="6">
        <f t="shared" si="1"/>
        <v>5.683621987</v>
      </c>
    </row>
    <row r="100">
      <c r="E100" s="6">
        <f t="shared" si="1"/>
        <v>-0.7049018223</v>
      </c>
    </row>
    <row r="101">
      <c r="E101" s="6">
        <f t="shared" si="1"/>
        <v>1.284705601</v>
      </c>
    </row>
    <row r="102">
      <c r="E102" s="6">
        <f t="shared" si="1"/>
        <v>0.4728209628</v>
      </c>
    </row>
    <row r="103">
      <c r="E103" s="6">
        <f t="shared" si="1"/>
        <v>-0.6625604047</v>
      </c>
    </row>
    <row r="104">
      <c r="E104" s="6">
        <f t="shared" si="1"/>
        <v>-0.1606502951</v>
      </c>
    </row>
    <row r="105">
      <c r="E105" s="6">
        <f t="shared" si="1"/>
        <v>0.6135614503</v>
      </c>
    </row>
    <row r="106">
      <c r="E106" s="6">
        <f t="shared" si="1"/>
        <v>1.027898833</v>
      </c>
    </row>
    <row r="107">
      <c r="E107" s="6">
        <f t="shared" si="1"/>
        <v>4.17940883</v>
      </c>
    </row>
    <row r="108">
      <c r="E108" s="6">
        <f t="shared" si="1"/>
        <v>-0.65997216</v>
      </c>
    </row>
    <row r="109">
      <c r="E109" s="6">
        <f t="shared" si="1"/>
        <v>-0.1562637889</v>
      </c>
    </row>
    <row r="110">
      <c r="E110" s="6">
        <f t="shared" si="1"/>
        <v>-0.616649073</v>
      </c>
    </row>
    <row r="111">
      <c r="E111" s="6">
        <f t="shared" si="1"/>
        <v>0.12943891</v>
      </c>
    </row>
    <row r="112">
      <c r="E112" s="6">
        <f t="shared" si="1"/>
        <v>-0.1324913139</v>
      </c>
    </row>
    <row r="113">
      <c r="E113" s="6">
        <f t="shared" si="1"/>
        <v>-0.3695939906</v>
      </c>
    </row>
    <row r="114">
      <c r="E114" s="6">
        <f t="shared" si="1"/>
        <v>0.5332179034</v>
      </c>
    </row>
    <row r="115">
      <c r="E115" s="6">
        <f t="shared" si="1"/>
        <v>-0.3066512538</v>
      </c>
    </row>
    <row r="116">
      <c r="E116" s="6">
        <f t="shared" si="1"/>
        <v>0.7442352579</v>
      </c>
    </row>
    <row r="117">
      <c r="E117" s="6">
        <f t="shared" si="1"/>
        <v>-0.693577442</v>
      </c>
    </row>
    <row r="118">
      <c r="E118" s="6">
        <f t="shared" si="1"/>
        <v>-0.4845590882</v>
      </c>
    </row>
    <row r="119">
      <c r="E119" s="6">
        <f t="shared" si="1"/>
        <v>1.088031283</v>
      </c>
    </row>
    <row r="120">
      <c r="E120" s="6">
        <f t="shared" si="1"/>
        <v>-0.273983903</v>
      </c>
    </row>
    <row r="121">
      <c r="E121" s="6">
        <f t="shared" si="1"/>
        <v>8.271342587</v>
      </c>
    </row>
    <row r="122">
      <c r="E122" s="6">
        <f t="shared" si="1"/>
        <v>-0.5004206524</v>
      </c>
    </row>
    <row r="123">
      <c r="E123" s="6">
        <f t="shared" si="1"/>
        <v>-0.5219089167</v>
      </c>
    </row>
    <row r="124">
      <c r="E124" s="6">
        <f t="shared" si="1"/>
        <v>-0.3263625017</v>
      </c>
    </row>
    <row r="125">
      <c r="E125" s="6">
        <f t="shared" si="1"/>
        <v>-0.2276638669</v>
      </c>
    </row>
    <row r="126">
      <c r="E126" s="6">
        <f t="shared" si="1"/>
        <v>-0.002612149159</v>
      </c>
    </row>
    <row r="127">
      <c r="E127" s="6">
        <f t="shared" si="1"/>
        <v>-0.1041984019</v>
      </c>
    </row>
    <row r="128">
      <c r="E128" s="6">
        <f t="shared" si="1"/>
        <v>0.4536097852</v>
      </c>
    </row>
    <row r="129">
      <c r="E129" s="6">
        <f t="shared" si="1"/>
        <v>-0.2493381221</v>
      </c>
    </row>
    <row r="130">
      <c r="E130" s="6">
        <f t="shared" si="1"/>
        <v>3.606517935</v>
      </c>
    </row>
    <row r="131">
      <c r="E131" s="6">
        <f t="shared" si="1"/>
        <v>-0.6926012535</v>
      </c>
    </row>
    <row r="132">
      <c r="E132" s="6">
        <f t="shared" si="1"/>
        <v>-0.4198057653</v>
      </c>
    </row>
    <row r="133">
      <c r="E133" s="6">
        <f t="shared" si="1"/>
        <v>-0.2367720466</v>
      </c>
    </row>
    <row r="134">
      <c r="E134" s="6">
        <f t="shared" si="1"/>
        <v>-0.2077610639</v>
      </c>
    </row>
    <row r="135">
      <c r="E135" s="6">
        <f t="shared" si="1"/>
        <v>-0.7418271877</v>
      </c>
    </row>
    <row r="136">
      <c r="E136" s="6">
        <f t="shared" si="1"/>
        <v>8.274141974</v>
      </c>
    </row>
    <row r="137">
      <c r="E137" s="6">
        <f t="shared" si="1"/>
        <v>-0.2831628548</v>
      </c>
    </row>
    <row r="138">
      <c r="E138" s="6">
        <f t="shared" si="1"/>
        <v>-0.7532867312</v>
      </c>
    </row>
    <row r="139">
      <c r="E139" s="6">
        <f t="shared" si="1"/>
        <v>0.1410189758</v>
      </c>
    </row>
    <row r="140">
      <c r="E140" s="6">
        <f t="shared" si="1"/>
        <v>21.09112655</v>
      </c>
    </row>
    <row r="141">
      <c r="E141" s="6">
        <f t="shared" si="1"/>
        <v>-0.8332766142</v>
      </c>
    </row>
    <row r="142">
      <c r="E142" s="6">
        <f t="shared" si="1"/>
        <v>-0.4818148079</v>
      </c>
    </row>
    <row r="143">
      <c r="E143" s="6">
        <f t="shared" si="1"/>
        <v>0.4920919129</v>
      </c>
    </row>
    <row r="144">
      <c r="E144" s="6">
        <f t="shared" si="1"/>
        <v>3.48192</v>
      </c>
    </row>
    <row r="145">
      <c r="E145" s="6">
        <f t="shared" si="1"/>
        <v>8.44752249</v>
      </c>
    </row>
    <row r="146">
      <c r="E146" s="6">
        <f t="shared" si="1"/>
        <v>-0.9449165672</v>
      </c>
    </row>
    <row r="147">
      <c r="E147" s="6">
        <f t="shared" si="1"/>
        <v>3.108111816</v>
      </c>
    </row>
    <row r="148">
      <c r="E148" s="6">
        <f t="shared" si="1"/>
        <v>-0.8864592726</v>
      </c>
    </row>
    <row r="149">
      <c r="E149" s="6">
        <f t="shared" si="1"/>
        <v>1.567357894</v>
      </c>
    </row>
    <row r="150">
      <c r="E150" s="6">
        <f t="shared" si="1"/>
        <v>0.9197588325</v>
      </c>
    </row>
    <row r="151">
      <c r="E151" s="6">
        <f t="shared" si="1"/>
        <v>-0.9329881911</v>
      </c>
    </row>
    <row r="152">
      <c r="E152" s="6">
        <f t="shared" si="1"/>
        <v>-0.3633530001</v>
      </c>
    </row>
    <row r="153">
      <c r="E153" s="6">
        <f t="shared" si="1"/>
        <v>18.2785452</v>
      </c>
    </row>
    <row r="154">
      <c r="E154" s="6">
        <f t="shared" si="1"/>
        <v>-0.5003990785</v>
      </c>
    </row>
    <row r="155">
      <c r="E155" s="6">
        <f t="shared" si="1"/>
        <v>-0.9403445709</v>
      </c>
    </row>
    <row r="156">
      <c r="E156" s="6">
        <f t="shared" si="1"/>
        <v>15.59616555</v>
      </c>
    </row>
    <row r="157">
      <c r="E157" s="6">
        <f t="shared" si="1"/>
        <v>-0.3120931512</v>
      </c>
    </row>
    <row r="158">
      <c r="E158" s="6">
        <f t="shared" si="1"/>
        <v>0.2848727176</v>
      </c>
    </row>
    <row r="159">
      <c r="E159" s="6">
        <f t="shared" si="1"/>
        <v>-0.8081822331</v>
      </c>
    </row>
    <row r="160">
      <c r="E160" s="6">
        <f t="shared" si="1"/>
        <v>1.246701276</v>
      </c>
    </row>
    <row r="161">
      <c r="E161" s="6">
        <f t="shared" si="1"/>
        <v>6.746016464</v>
      </c>
    </row>
    <row r="162">
      <c r="E162" s="6">
        <f t="shared" si="1"/>
        <v>-0.4045168668</v>
      </c>
    </row>
    <row r="163">
      <c r="E163" s="6">
        <f t="shared" si="1"/>
        <v>0.9354505417</v>
      </c>
    </row>
    <row r="164">
      <c r="E164" s="6">
        <f t="shared" si="1"/>
        <v>-0.791923473</v>
      </c>
    </row>
    <row r="165">
      <c r="E165" s="6">
        <f t="shared" si="1"/>
        <v>1.26119519</v>
      </c>
    </row>
    <row r="166">
      <c r="E166" s="6">
        <f t="shared" si="1"/>
        <v>-0.4964758467</v>
      </c>
    </row>
    <row r="167">
      <c r="E167" s="6">
        <f t="shared" si="1"/>
        <v>-0.7483782861</v>
      </c>
    </row>
    <row r="168">
      <c r="E168" s="6">
        <f t="shared" si="1"/>
        <v>2.678787879</v>
      </c>
    </row>
    <row r="169">
      <c r="E169" s="6">
        <f t="shared" si="1"/>
        <v>-0.6947798077</v>
      </c>
    </row>
    <row r="170">
      <c r="E170" s="6">
        <f t="shared" si="1"/>
        <v>2.689921856</v>
      </c>
    </row>
    <row r="171">
      <c r="E171" s="6">
        <f t="shared" si="1"/>
        <v>-0.1564526341</v>
      </c>
    </row>
    <row r="172">
      <c r="E172" s="6">
        <f t="shared" si="1"/>
        <v>-0.7061624867</v>
      </c>
    </row>
    <row r="173">
      <c r="E173" s="6">
        <f t="shared" si="1"/>
        <v>13.57614727</v>
      </c>
    </row>
    <row r="174">
      <c r="E174" s="6">
        <f t="shared" si="1"/>
        <v>-0.7445840358</v>
      </c>
    </row>
    <row r="175">
      <c r="E175" s="6">
        <f t="shared" si="1"/>
        <v>-0.03731043131</v>
      </c>
    </row>
    <row r="176">
      <c r="E176" s="6">
        <f t="shared" si="1"/>
        <v>-0.9126566724</v>
      </c>
    </row>
    <row r="177">
      <c r="E177" s="6">
        <f t="shared" si="1"/>
        <v>3.301069218</v>
      </c>
    </row>
    <row r="178">
      <c r="E178" s="6">
        <f t="shared" si="1"/>
        <v>2.441384273</v>
      </c>
    </row>
    <row r="179">
      <c r="E179" s="6">
        <f t="shared" si="1"/>
        <v>-0.9084687767</v>
      </c>
    </row>
    <row r="180">
      <c r="E180" s="6">
        <f t="shared" si="1"/>
        <v>11.41391485</v>
      </c>
    </row>
    <row r="181">
      <c r="E181" s="6">
        <f t="shared" si="1"/>
        <v>-0.3226373112</v>
      </c>
    </row>
    <row r="182">
      <c r="E182" s="6">
        <f t="shared" si="1"/>
        <v>0.5724906145</v>
      </c>
    </row>
    <row r="183">
      <c r="E183" s="6">
        <f t="shared" si="1"/>
        <v>-0.06444468877</v>
      </c>
    </row>
    <row r="184">
      <c r="E184" s="6">
        <f t="shared" si="1"/>
        <v>-0.4042542475</v>
      </c>
    </row>
    <row r="185">
      <c r="E185" s="6">
        <f t="shared" si="1"/>
        <v>-0.5438072425</v>
      </c>
    </row>
    <row r="186">
      <c r="E186" s="6">
        <f t="shared" si="1"/>
        <v>-0.8752162095</v>
      </c>
    </row>
    <row r="187">
      <c r="E187" s="6">
        <f t="shared" si="1"/>
        <v>2.848514851</v>
      </c>
    </row>
    <row r="188">
      <c r="E188" s="6">
        <f t="shared" si="1"/>
        <v>-0.6363519424</v>
      </c>
    </row>
    <row r="189">
      <c r="E189" s="6">
        <f t="shared" si="1"/>
        <v>3.535903785</v>
      </c>
    </row>
    <row r="190">
      <c r="E190" s="6">
        <f t="shared" si="1"/>
        <v>1.608593933</v>
      </c>
    </row>
    <row r="191">
      <c r="E191" s="6">
        <f t="shared" si="1"/>
        <v>-0.5871150972</v>
      </c>
    </row>
    <row r="192">
      <c r="E192" s="6">
        <f t="shared" si="1"/>
        <v>2.030120918</v>
      </c>
    </row>
    <row r="193">
      <c r="E193" s="6">
        <f t="shared" si="1"/>
        <v>-0.7903175703</v>
      </c>
    </row>
    <row r="194">
      <c r="E194" s="6">
        <f t="shared" si="1"/>
        <v>1.361139601</v>
      </c>
    </row>
    <row r="195">
      <c r="E195" s="6">
        <f t="shared" si="1"/>
        <v>-0.123847676</v>
      </c>
    </row>
    <row r="196">
      <c r="E196" s="6">
        <f t="shared" si="1"/>
        <v>-0.575497163</v>
      </c>
    </row>
    <row r="197">
      <c r="E197" s="6">
        <f t="shared" si="1"/>
        <v>0.02841941344</v>
      </c>
    </row>
    <row r="198">
      <c r="E198" s="6">
        <f t="shared" si="1"/>
        <v>1.100063091</v>
      </c>
    </row>
    <row r="199">
      <c r="E199" s="6">
        <f t="shared" si="1"/>
        <v>-0.794388031</v>
      </c>
    </row>
    <row r="200">
      <c r="E200" s="6">
        <f t="shared" si="1"/>
        <v>9.274985389</v>
      </c>
    </row>
    <row r="201">
      <c r="E201" s="6">
        <f t="shared" si="1"/>
        <v>-0.6894570689</v>
      </c>
    </row>
    <row r="202">
      <c r="E202" s="6">
        <f t="shared" si="1"/>
        <v>3.200934151</v>
      </c>
    </row>
    <row r="203">
      <c r="E203" s="6">
        <f t="shared" si="1"/>
        <v>-0.7838020493</v>
      </c>
    </row>
    <row r="204">
      <c r="E204" s="6">
        <f t="shared" si="1"/>
        <v>0.07482101442</v>
      </c>
    </row>
    <row r="205">
      <c r="E205" s="6">
        <f t="shared" si="1"/>
        <v>0.8611502017</v>
      </c>
    </row>
    <row r="206">
      <c r="E206" s="6">
        <f t="shared" si="1"/>
        <v>-0.4784252445</v>
      </c>
    </row>
    <row r="207">
      <c r="E207" s="6">
        <f t="shared" si="1"/>
        <v>-0.04059147579</v>
      </c>
    </row>
    <row r="208">
      <c r="E208" s="6">
        <f t="shared" si="1"/>
        <v>-0.1805177798</v>
      </c>
    </row>
    <row r="209">
      <c r="E209" s="6">
        <f t="shared" si="1"/>
        <v>0.5524277812</v>
      </c>
    </row>
    <row r="210">
      <c r="E210" s="6">
        <f t="shared" si="1"/>
        <v>-0.4016945126</v>
      </c>
    </row>
    <row r="211">
      <c r="E211" s="6">
        <f t="shared" si="1"/>
        <v>2432.984251</v>
      </c>
    </row>
    <row r="212">
      <c r="E212" s="6">
        <f t="shared" si="1"/>
        <v>-1</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5.75"/>
  </cols>
  <sheetData>
    <row r="1"/>
    <row r="2"/>
    <row r="3"/>
    <row r="4"/>
    <row r="5"/>
    <row r="6"/>
    <row r="7"/>
    <row r="8"/>
    <row r="9"/>
    <row r="10"/>
    <row r="11"/>
    <row r="12"/>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2946</v>
      </c>
    </row>
    <row r="2">
      <c r="A2" s="1" t="s">
        <v>2947</v>
      </c>
    </row>
    <row r="4">
      <c r="A4" s="15" t="s">
        <v>2948</v>
      </c>
    </row>
    <row r="5">
      <c r="A5" s="1" t="s">
        <v>2949</v>
      </c>
    </row>
    <row r="6">
      <c r="A6" s="1" t="s">
        <v>2950</v>
      </c>
    </row>
    <row r="7">
      <c r="A7" s="1" t="s">
        <v>2951</v>
      </c>
    </row>
    <row r="8">
      <c r="A8" s="1" t="s">
        <v>2952</v>
      </c>
    </row>
    <row r="10">
      <c r="A10" s="15" t="s">
        <v>2953</v>
      </c>
    </row>
    <row r="11">
      <c r="A11" s="16" t="s">
        <v>2954</v>
      </c>
    </row>
    <row r="12">
      <c r="A12" s="17" t="s">
        <v>2955</v>
      </c>
    </row>
    <row r="13">
      <c r="A13" s="16" t="s">
        <v>2956</v>
      </c>
    </row>
    <row r="14">
      <c r="A14" s="17" t="s">
        <v>2957</v>
      </c>
    </row>
    <row r="15">
      <c r="A15" s="16" t="s">
        <v>2958</v>
      </c>
    </row>
    <row r="16">
      <c r="A16" s="17" t="s">
        <v>2959</v>
      </c>
    </row>
    <row r="17">
      <c r="A17" s="16" t="s">
        <v>2960</v>
      </c>
    </row>
    <row r="18">
      <c r="A18" s="17" t="s">
        <v>2961</v>
      </c>
    </row>
    <row r="19">
      <c r="A19" s="16" t="s">
        <v>2962</v>
      </c>
    </row>
    <row r="20">
      <c r="A20" s="17" t="s">
        <v>2963</v>
      </c>
    </row>
    <row r="22">
      <c r="A22" s="15" t="s">
        <v>2964</v>
      </c>
    </row>
    <row r="23">
      <c r="A23" s="16" t="s">
        <v>2965</v>
      </c>
    </row>
    <row r="24">
      <c r="A24" s="17" t="s">
        <v>2966</v>
      </c>
    </row>
    <row r="25">
      <c r="A25" s="17" t="s">
        <v>2967</v>
      </c>
    </row>
    <row r="26">
      <c r="A26" s="17" t="s">
        <v>2968</v>
      </c>
    </row>
    <row r="27">
      <c r="A27" s="17" t="s">
        <v>2969</v>
      </c>
    </row>
    <row r="28">
      <c r="A28" s="16" t="s">
        <v>2970</v>
      </c>
    </row>
    <row r="29">
      <c r="A29" s="17" t="s">
        <v>2971</v>
      </c>
    </row>
    <row r="30">
      <c r="A30" s="16" t="s">
        <v>2972</v>
      </c>
    </row>
    <row r="31">
      <c r="A31" s="17" t="s">
        <v>2973</v>
      </c>
    </row>
    <row r="32">
      <c r="A32" s="17" t="s">
        <v>2974</v>
      </c>
    </row>
    <row r="33">
      <c r="A33" s="17" t="s">
        <v>2975</v>
      </c>
    </row>
    <row r="34">
      <c r="A34" s="17" t="s">
        <v>2976</v>
      </c>
    </row>
    <row r="35">
      <c r="A35" s="17" t="s">
        <v>2977</v>
      </c>
    </row>
    <row r="36">
      <c r="A36" s="16" t="s">
        <v>2978</v>
      </c>
    </row>
    <row r="37">
      <c r="A37" s="17" t="s">
        <v>2979</v>
      </c>
    </row>
    <row r="38">
      <c r="A38" s="16" t="s">
        <v>2980</v>
      </c>
    </row>
    <row r="39">
      <c r="A39" s="17" t="s">
        <v>2981</v>
      </c>
    </row>
    <row r="41">
      <c r="A41" s="15" t="s">
        <v>2982</v>
      </c>
    </row>
    <row r="42">
      <c r="A42" s="1" t="s">
        <v>2983</v>
      </c>
    </row>
  </sheetData>
  <drawing r:id="rId1"/>
</worksheet>
</file>